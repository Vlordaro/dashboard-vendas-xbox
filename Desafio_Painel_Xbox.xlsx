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ic\Downloads\"/>
    </mc:Choice>
  </mc:AlternateContent>
  <xr:revisionPtr revIDLastSave="0" documentId="13_ncr:1_{AEF6410E-4962-46A2-AFB0-FDEB144CFA79}" xr6:coauthVersionLast="47" xr6:coauthVersionMax="47" xr10:uidLastSave="{00000000-0000-0000-0000-000000000000}"/>
  <bookViews>
    <workbookView xWindow="28680" yWindow="-120" windowWidth="29040" windowHeight="158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1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F2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<sst xmlns="http://schemas.openxmlformats.org/spreadsheetml/2006/main" count="2022" uniqueCount="324">
  <si>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</si>
  <si>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</si>
  <si>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</si>
  <si>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</si>
  <si>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</si>
  <si>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</si>
  <si>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</si>
  <si>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</si>
  <si>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</si>
  <si>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</si>
  <si>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</si>
  <si>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</si>
  <si>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</si>
  <si>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</si>
  <si>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</si>
  <si>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</si>
  <si>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</si>
  <si>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</si>
  <si>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</si>
  <si>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</si>
  <si>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</si>
  <si>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</si>
  <si>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</si>
  <si>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</si>
  <si>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</si>
  <si>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</si>
  <si>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</si>
  <si>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</si>
  <si>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</si>
  <si>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</si>
  <si>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</si>
  <si>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</si>
  <si>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</si>
  <si>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</si>
  <si>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</si>
  <si>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</si>
  <si>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</si>
  <si>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</si>
  <si>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</si>
  <si>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</si>
  <si>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</si>
  <si>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</si>
  <si>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</si>
  <si>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</si>
  <si>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</si>
  <si>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</si>
  <si>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</si>
  <si>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</si>
  <si>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</si>
  <si>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</si>
  <si>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</si>
  <si>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</si>
  <si>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</si>
  <si>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</si>
  <si>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</si>
  <si>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</si>
  <si>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</si>
  <si>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</si>
  <si>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</si>
  <si>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</si>
  <si>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</si>
  <si>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</si>
  <si>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</si>
  <si>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</si>
  <si>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</si>
  <si>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</si>
  <si>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</si>
  <si>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</si>
  <si>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</si>
  <si>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</si>
  <si>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</si>
  <si>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</si>
  <si>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</si>
  <si>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</si>
  <si>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</si>
  <si>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</si>
  <si>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</si>
  <si>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</si>
  <si>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</si>
  <si>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</si>
  <si>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</si>
  <si>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</si>
  <si>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</si>
  <si>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</si>
  <si>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</si>
  <si>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</si>
  <si>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</si>
  <si>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</si>
  <si>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</si>
  <si>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</si>
  <si>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</si>
  <si>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</si>
  <si>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</si>
  <si>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</si>
  <si>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</si>
  <si>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</si>
  <si>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</si>
  <si>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</si>
  <si>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</si>
  <si>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</si>
  <si>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</si>
  <si>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</si>
  <si>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</si>
  <si>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</si>
  <si>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</si>
  <si>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</si>
  <si>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</si>
  <si>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</si>
  <si>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</si>
  <si>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</si>
  <si>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</si>
  <si>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</si>
  <si>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</si>
  <si>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</si>
  <si>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</si>
  <si>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</si>
  <si>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</si>
  <si>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</si>
  <si>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</si>
  <si>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</si>
  <si>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</si>
  <si>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</si>
  <si>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</si>
  <si>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</si>
  <si>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</si>
  <si>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</si>
  <si>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</si>
  <si>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</si>
  <si>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</si>
  <si>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</si>
  <si>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</si>
  <si>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</si>
  <si>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</si>
  <si>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</si>
  <si>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</si>
  <si>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</si>
  <si>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</si>
  <si>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</si>
  <si>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</si>
  <si>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</si>
  <si>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</si>
  <si>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</si>
  <si>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</si>
  <si>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</si>
  <si>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</si>
  <si>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</si>
  <si>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</si>
  <si>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</si>
  <si>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</si>
  <si>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</si>
  <si>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</si>
  <si>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</si>
  <si>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</si>
  <si>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</si>
  <si>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</si>
  <si>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</si>
  <si>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</si>
  <si>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</si>
  <si>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</si>
  <si>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</si>
  <si>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</si>
  <si>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</si>
  <si>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</si>
  <si>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</si>
  <si>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</si>
  <si>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</si>
  <si>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</si>
  <si>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</si>
  <si>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</si>
  <si>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</si>
  <si>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</si>
  <si>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</si>
  <si>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</si>
  <si>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</si>
  <si>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</si>
  <si>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</si>
  <si>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</si>
  <si>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</si>
  <si>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</si>
  <si>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</si>
  <si>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</si>
  <si>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</si>
  <si>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</si>
  <si>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</si>
  <si>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</si>
  <si>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</si>
  <si>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</si>
  <si>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</si>
  <si>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</si>
  <si>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</si>
  <si>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</si>
  <si>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</si>
  <si>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</si>
  <si>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</si>
  <si>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</si>
  <si>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</si>
  <si>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</si>
  <si>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</si>
  <si>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</si>
  <si>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</si>
  <si>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</si>
  <si>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</si>
  <si>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</si>
  <si>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</si>
  <si>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</si>
  <si>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</si>
  <si>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</si>
  <si>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</si>
  <si>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</si>
  <si>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</si>
  <si>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</si>
  <si>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</si>
  <si>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</si>
  <si>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</si>
  <si>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</si>
  <si>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</si>
  <si>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</si>
  <si>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</si>
  <si>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</si>
  <si>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</si>
  <si>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</si>
  <si>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</si>
  <si>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</si>
  <si>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</si>
  <si>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</si>
  <si>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</si>
  <si>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</si>
  <si>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</si>
  <si>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</si>
  <si>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</si>
  <si>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</si>
  <si>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</si>
  <si>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</si>
  <si>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</si>
  <si>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</si>
  <si>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</si>
  <si>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</si>
  <si>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</si>
  <si>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</si>
  <si>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</si>
  <si>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</si>
  <si>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</si>
  <si>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</si>
  <si>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</si>
  <si>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</si>
  <si>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</si>
  <si>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</si>
  <si>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</si>
  <si>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</si>
  <si>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</si>
  <si>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</si>
  <si>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</si>
  <si>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</si>
  <si>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</si>
  <si>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</si>
  <si>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</si>
  <si>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</si>
  <si>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</si>
  <si>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</si>
  <si>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</si>
  <si>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</si>
  <si>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</si>
  <si>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</si>
  <si>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</si>
  <si>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</si>
  <si>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</si>
  <si>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</si>
  <si>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</si>
  <si>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</si>
  <si>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</si>
  <si>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</si>
  <si>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</si>
  <si>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</si>
  <si>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</si>
  <si>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</si>
  <si>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</si>
  <si>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</si>
  <si>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</si>
  <si>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</si>
  <si>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</si>
  <si>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</si>
  <si>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</si>
  <si>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</si>
  <si>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</si>
  <si>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</si>
  <si>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</si>
  <si>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</si>
  <si>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</si>
  <si>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</si>
  <si>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</si>
  <si>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</si>
  <si>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</si>
  <si>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</si>
  <si>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</si>
  <si>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</si>
  <si>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</si>
  <si>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</si>
  <si>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</si>
  <si>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</si>
  <si>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</si>
  <si>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</si>
  <si>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</si>
  <si>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</si>
  <si>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</si>
  <si>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</si>
  <si>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</si>
  <si>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</si>
  <si>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</si>
  <si>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</si>
  <si>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</si>
  <si>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</si>
  <si>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</si>
  <si>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</si>
  <si>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</si>
  <si>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</si>
  <si>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</si>
  <si>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umna análise de dado específica</t>
  </si>
  <si>
    <r>
      <t xml:space="preserve">Pergunta de negócio 1 -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(Cotendo todas as assinaturas agregadas)</t>
    </r>
  </si>
  <si>
    <r>
      <t xml:space="preserve">Pergunta de negócio 2 -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>, separado por auto renovação não é por auto renovação</t>
    </r>
  </si>
  <si>
    <t>XBOX GAME PASS SUBSCRIPTIONS SALES</t>
  </si>
  <si>
    <t>Soma de EA Play Season Pass</t>
  </si>
  <si>
    <r>
      <t>Pergunta Negócio 4 - Total de</t>
    </r>
    <r>
      <rPr>
        <b/>
        <sz val="11"/>
        <color theme="1"/>
        <rFont val="Aptos Narrow"/>
        <family val="2"/>
        <scheme val="minor"/>
      </rPr>
      <t xml:space="preserve"> Vendas de Assinaturas</t>
    </r>
    <r>
      <rPr>
        <sz val="11"/>
        <color theme="1"/>
        <rFont val="Aptos Narrow"/>
        <family val="2"/>
        <scheme val="minor"/>
      </rPr>
      <t xml:space="preserve"> do </t>
    </r>
    <r>
      <rPr>
        <b/>
        <sz val="11"/>
        <color theme="1"/>
        <rFont val="Aptos Narrow"/>
        <family val="2"/>
        <scheme val="minor"/>
      </rPr>
      <t>Minecraft Season Pass</t>
    </r>
  </si>
  <si>
    <r>
      <t xml:space="preserve">Pergunta de negócio 3 - Qual o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 assinaturas </t>
    </r>
    <r>
      <rPr>
        <b/>
        <sz val="11"/>
        <color theme="1"/>
        <rFont val="Aptos Narrow"/>
        <family val="2"/>
        <scheme val="minor"/>
      </rPr>
      <t>EA Play</t>
    </r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</si>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</sst>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rgb="FF22C55E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6" tint="-0.2499465926084170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 applyAlignment="1">
      <alignment horizontal="center"/>
    </xf>
    <xf numFmtId="0" fontId="0" fillId="0" borderId="0" xfId="0" applyAlignment="1">
      <alignment horizontal="left" vertical="center"/>
    </xf>
    <xf numFmtId="0" fontId="4" fillId="0" borderId="2" xfId="1" applyFont="1" applyBorder="1"/>
    <xf numFmtId="0" fontId="0" fillId="0" borderId="0" xfId="0" applyNumberFormat="1"/>
    <xf numFmtId="165" fontId="0" fillId="0" borderId="0" xfId="0" applyNumberFormat="1"/>
    <xf numFmtId="0" fontId="4" fillId="0" borderId="2" xfId="1" applyFont="1" applyBorder="1" applyAlignment="1">
      <alignment horizontal="left" vertical="center" indent="5"/>
    </xf>
  </cellXfs>
  <cellStyles count="3">
    <cellStyle name="Moeda" xfId="2" builtinId="4"/>
    <cellStyle name="Normal" xfId="0" builtinId="0"/>
    <cellStyle name="Título 1" xfId="1" builtinId="16"/>
  </cellStyles>
  <dxfs count="44"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numFmt numFmtId="165" formatCode="&quot;R$&quot;\ #,##0.00"/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259487BD-4919-4A6E-A62A-638E4DEB4DB6}">
      <tableStyleElement type="wholeTable" dxfId="29"/>
      <tableStyleElement type="headerRow" dxfId="28"/>
    </tableStyle>
  </tableStyles>
  <colors>
    <mruColors>
      <color rgb="FF22C55E"/>
      <color rgb="FF5BF6A8"/>
      <color rgb="FF2AE6B1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5.6171617005439579E-2"/>
                  <c:h val="3.9188541167149669E-2"/>
                </c:manualLayout>
              </c15:layout>
            </c:ext>
          </c:extLst>
        </c:dLbl>
      </c:pivotFmt>
      <c:pivotFmt>
        <c:idx val="4"/>
        <c:spPr>
          <a:solidFill>
            <a:srgbClr val="5BF6A8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7998078043511151E-2"/>
          <c:y val="4.8544364058406134E-2"/>
          <c:w val="0.96183271187532027"/>
          <c:h val="0.951455635941593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solidFill>
                <a:srgbClr val="5BF6A8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4F-438B-8551-0F467F917530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64F-438B-8551-0F467F9175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4F-438B-8551-0F467F9175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86369311"/>
        <c:axId val="686367871"/>
      </c:barChart>
      <c:catAx>
        <c:axId val="6863693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86367871"/>
        <c:crosses val="autoZero"/>
        <c:auto val="1"/>
        <c:lblAlgn val="ctr"/>
        <c:lblOffset val="100"/>
        <c:noMultiLvlLbl val="0"/>
      </c:catAx>
      <c:valAx>
        <c:axId val="68636787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68636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7</xdr:row>
      <xdr:rowOff>0</xdr:rowOff>
    </xdr:from>
    <xdr:to>
      <xdr:col>11</xdr:col>
      <xdr:colOff>304800</xdr:colOff>
      <xdr:row>8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7</xdr:row>
      <xdr:rowOff>0</xdr:rowOff>
    </xdr:from>
    <xdr:to>
      <xdr:col>13</xdr:col>
      <xdr:colOff>304800</xdr:colOff>
      <xdr:row>8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6569</xdr:colOff>
      <xdr:row>1</xdr:row>
      <xdr:rowOff>100757</xdr:rowOff>
    </xdr:from>
    <xdr:to>
      <xdr:col>2</xdr:col>
      <xdr:colOff>426221</xdr:colOff>
      <xdr:row>2</xdr:row>
      <xdr:rowOff>214496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98315DD-47DF-445A-9478-39D2201B65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13" t="23295" r="72773" b="23127"/>
        <a:stretch>
          <a:fillRect/>
        </a:stretch>
      </xdr:blipFill>
      <xdr:spPr>
        <a:xfrm>
          <a:off x="2187466" y="291257"/>
          <a:ext cx="656134" cy="606411"/>
        </a:xfrm>
        <a:prstGeom prst="rect">
          <a:avLst/>
        </a:prstGeom>
      </xdr:spPr>
    </xdr:pic>
    <xdr:clientData/>
  </xdr:twoCellAnchor>
  <xdr:twoCellAnchor editAs="absolute">
    <xdr:from>
      <xdr:col>2</xdr:col>
      <xdr:colOff>121063</xdr:colOff>
      <xdr:row>17</xdr:row>
      <xdr:rowOff>55228</xdr:rowOff>
    </xdr:from>
    <xdr:to>
      <xdr:col>24</xdr:col>
      <xdr:colOff>451437</xdr:colOff>
      <xdr:row>49</xdr:row>
      <xdr:rowOff>31216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69E4432B-AAE0-E717-255E-EE8542DA9F5C}"/>
            </a:ext>
          </a:extLst>
        </xdr:cNvPr>
        <xdr:cNvGrpSpPr/>
      </xdr:nvGrpSpPr>
      <xdr:grpSpPr>
        <a:xfrm>
          <a:off x="2545608" y="3605455"/>
          <a:ext cx="13578784" cy="6071988"/>
          <a:chOff x="4810125" y="1975641"/>
          <a:chExt cx="4822031" cy="2894015"/>
        </a:xfrm>
      </xdr:grpSpPr>
      <xdr:sp macro="" textlink="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5DDD4A02-A548-7333-AE37-C4704CAA460D}"/>
              </a:ext>
            </a:extLst>
          </xdr:cNvPr>
          <xdr:cNvSpPr/>
        </xdr:nvSpPr>
        <xdr:spPr>
          <a:xfrm>
            <a:off x="4810125" y="1975641"/>
            <a:ext cx="4822031" cy="2894015"/>
          </a:xfrm>
          <a:prstGeom prst="roundRect">
            <a:avLst>
              <a:gd name="adj" fmla="val 8894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4800"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C8A3FD69-6366-4BE4-912F-BE69A9A81887}"/>
              </a:ext>
            </a:extLst>
          </xdr:cNvPr>
          <xdr:cNvGraphicFramePr>
            <a:graphicFrameLocks/>
          </xdr:cNvGraphicFramePr>
        </xdr:nvGraphicFramePr>
        <xdr:xfrm>
          <a:off x="4924425" y="1976437"/>
          <a:ext cx="457200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absolute">
    <xdr:from>
      <xdr:col>0</xdr:col>
      <xdr:colOff>0</xdr:colOff>
      <xdr:row>7</xdr:row>
      <xdr:rowOff>171449</xdr:rowOff>
    </xdr:from>
    <xdr:to>
      <xdr:col>0</xdr:col>
      <xdr:colOff>2151529</xdr:colOff>
      <xdr:row>13</xdr:row>
      <xdr:rowOff>78581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bscription Type">
              <a:extLst>
                <a:ext uri="{FF2B5EF4-FFF2-40B4-BE49-F238E27FC236}">
                  <a16:creationId xmlns:a16="http://schemas.microsoft.com/office/drawing/2014/main" id="{6C50695E-B89D-429D-AE15-B586C37EC9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591540"/>
              <a:ext cx="2151529" cy="12752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80639</xdr:colOff>
      <xdr:row>6</xdr:row>
      <xdr:rowOff>119555</xdr:rowOff>
    </xdr:from>
    <xdr:to>
      <xdr:col>12</xdr:col>
      <xdr:colOff>508182</xdr:colOff>
      <xdr:row>14</xdr:row>
      <xdr:rowOff>162512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29A6A35-267B-7324-3552-AF5376CA6C06}"/>
            </a:ext>
          </a:extLst>
        </xdr:cNvPr>
        <xdr:cNvGrpSpPr/>
      </xdr:nvGrpSpPr>
      <xdr:grpSpPr>
        <a:xfrm>
          <a:off x="2505184" y="1418419"/>
          <a:ext cx="6402316" cy="1722820"/>
          <a:chOff x="2609759" y="1107621"/>
          <a:chExt cx="6422963" cy="1721488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E5F52B0D-826C-4A24-332B-16788E0D6A06}"/>
              </a:ext>
            </a:extLst>
          </xdr:cNvPr>
          <xdr:cNvSpPr/>
        </xdr:nvSpPr>
        <xdr:spPr>
          <a:xfrm>
            <a:off x="2609759" y="1202532"/>
            <a:ext cx="6422963" cy="1626577"/>
          </a:xfrm>
          <a:prstGeom prst="roundRect">
            <a:avLst/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F23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083AB5CB-F23E-42EE-901C-F4172E0DE823}"/>
              </a:ext>
            </a:extLst>
          </xdr:cNvPr>
          <xdr:cNvSpPr/>
        </xdr:nvSpPr>
        <xdr:spPr>
          <a:xfrm>
            <a:off x="4667251" y="1791442"/>
            <a:ext cx="4072852" cy="728103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46821CE7-ECCF-4C8E-A543-E36073F4BD4A}" type="TxLink">
              <a:rPr lang="en-US" sz="4400" b="0" i="0" u="none" strike="noStrike">
                <a:solidFill>
                  <a:srgbClr val="22C55E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pPr algn="ctr"/>
              <a:t>R$ 990,00</a:t>
            </a:fld>
            <a:endParaRPr lang="pt-BR" sz="4400">
              <a:solidFill>
                <a:srgbClr val="22C55E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83292C5C-64B7-4402-BE9A-8ED5D58C079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113943" y="1575654"/>
            <a:ext cx="1221032" cy="1220117"/>
          </a:xfrm>
          <a:prstGeom prst="rect">
            <a:avLst/>
          </a:prstGeom>
        </xdr:spPr>
      </xdr:pic>
      <xdr:sp macro="" textlink="">
        <xdr:nvSpPr>
          <xdr:cNvPr id="13" name="Retângulo: Cantos Superiores Arredondados 12">
            <a:extLst>
              <a:ext uri="{FF2B5EF4-FFF2-40B4-BE49-F238E27FC236}">
                <a16:creationId xmlns:a16="http://schemas.microsoft.com/office/drawing/2014/main" id="{0D08EA4B-9788-B18F-8BEC-B8B9EDDC1091}"/>
              </a:ext>
            </a:extLst>
          </xdr:cNvPr>
          <xdr:cNvSpPr/>
        </xdr:nvSpPr>
        <xdr:spPr>
          <a:xfrm>
            <a:off x="2610269" y="1107621"/>
            <a:ext cx="6412522" cy="43877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TOTAL</a:t>
            </a:r>
            <a:r>
              <a:rPr lang="pt-BR" sz="1400" baseline="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SUBSCRIPTIONS EA PLAY SEASON PASS</a:t>
            </a:r>
            <a:endParaRPr lang="pt-BR" sz="14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</xdr:grpSp>
    <xdr:clientData/>
  </xdr:twoCellAnchor>
  <xdr:twoCellAnchor editAs="absolute">
    <xdr:from>
      <xdr:col>13</xdr:col>
      <xdr:colOff>578428</xdr:colOff>
      <xdr:row>6</xdr:row>
      <xdr:rowOff>119555</xdr:rowOff>
    </xdr:from>
    <xdr:to>
      <xdr:col>24</xdr:col>
      <xdr:colOff>308048</xdr:colOff>
      <xdr:row>14</xdr:row>
      <xdr:rowOff>162512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AB0F1800-CB0A-F177-76C5-00ACEC720E28}"/>
            </a:ext>
          </a:extLst>
        </xdr:cNvPr>
        <xdr:cNvGrpSpPr/>
      </xdr:nvGrpSpPr>
      <xdr:grpSpPr>
        <a:xfrm>
          <a:off x="9583883" y="1418419"/>
          <a:ext cx="6397120" cy="1722820"/>
          <a:chOff x="11306175" y="1133475"/>
          <a:chExt cx="6431756" cy="1723686"/>
        </a:xfrm>
      </xdr:grpSpPr>
      <xdr:grpSp>
        <xdr:nvGrpSpPr>
          <xdr:cNvPr id="16" name="Agrupar 15">
            <a:extLst>
              <a:ext uri="{FF2B5EF4-FFF2-40B4-BE49-F238E27FC236}">
                <a16:creationId xmlns:a16="http://schemas.microsoft.com/office/drawing/2014/main" id="{7B49F75F-A120-4A7F-B3CE-4C3DBA7F68A4}"/>
              </a:ext>
            </a:extLst>
          </xdr:cNvPr>
          <xdr:cNvGrpSpPr/>
        </xdr:nvGrpSpPr>
        <xdr:grpSpPr>
          <a:xfrm>
            <a:off x="11306175" y="1133475"/>
            <a:ext cx="6431756" cy="1723686"/>
            <a:chOff x="2609759" y="1107621"/>
            <a:chExt cx="6422963" cy="1721488"/>
          </a:xfrm>
        </xdr:grpSpPr>
        <xdr:sp macro="" textlink="">
          <xdr:nvSpPr>
            <xdr:cNvPr id="17" name="Retângulo: Cantos Arredondados 16">
              <a:extLst>
                <a:ext uri="{FF2B5EF4-FFF2-40B4-BE49-F238E27FC236}">
                  <a16:creationId xmlns:a16="http://schemas.microsoft.com/office/drawing/2014/main" id="{D978C0EE-2B4B-36B0-D65C-B72D8E4EC2EC}"/>
                </a:ext>
              </a:extLst>
            </xdr:cNvPr>
            <xdr:cNvSpPr/>
          </xdr:nvSpPr>
          <xdr:spPr>
            <a:xfrm>
              <a:off x="2609759" y="1202532"/>
              <a:ext cx="6422963" cy="1626577"/>
            </a:xfrm>
            <a:prstGeom prst="roundRect">
              <a:avLst/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F23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74E3A2DB-0135-B0C9-4F3E-7423B7C5DE37}"/>
                </a:ext>
              </a:extLst>
            </xdr:cNvPr>
            <xdr:cNvSpPr/>
          </xdr:nvSpPr>
          <xdr:spPr>
            <a:xfrm>
              <a:off x="4667251" y="1791442"/>
              <a:ext cx="4072852" cy="728103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6821CE7-ECCF-4C8E-A543-E36073F4BD4A}" type="TxLink">
                <a:rPr lang="en-US" sz="4400" b="0" i="0" u="none" strike="noStrike">
                  <a:solidFill>
                    <a:srgbClr val="22C55E"/>
                  </a:solidFill>
                  <a:latin typeface="Verdana" panose="020B0604030504040204" pitchFamily="34" charset="0"/>
                  <a:ea typeface="Verdana" panose="020B0604030504040204" pitchFamily="34" charset="0"/>
                </a:rPr>
                <a:pPr algn="ctr"/>
                <a:t>R$ 1.350,00</a:t>
              </a:fld>
              <a:endParaRPr lang="pt-BR" sz="4400">
                <a:solidFill>
                  <a:srgbClr val="22C55E"/>
                </a:solidFill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  <xdr:sp macro="" textlink="">
          <xdr:nvSpPr>
            <xdr:cNvPr id="20" name="Retângulo: Cantos Superiores Arredondados 19">
              <a:extLst>
                <a:ext uri="{FF2B5EF4-FFF2-40B4-BE49-F238E27FC236}">
                  <a16:creationId xmlns:a16="http://schemas.microsoft.com/office/drawing/2014/main" id="{9D380CCC-F47C-4F5A-9A0D-21B806AE6AE1}"/>
                </a:ext>
              </a:extLst>
            </xdr:cNvPr>
            <xdr:cNvSpPr/>
          </xdr:nvSpPr>
          <xdr:spPr>
            <a:xfrm>
              <a:off x="2610269" y="1107621"/>
              <a:ext cx="6412522" cy="43877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400">
                  <a:solidFill>
                    <a:schemeClr val="bg1"/>
                  </a:solidFill>
                  <a:latin typeface="Verdana" panose="020B0604030504040204" pitchFamily="34" charset="0"/>
                  <a:ea typeface="Verdana" panose="020B0604030504040204" pitchFamily="34" charset="0"/>
                </a:rPr>
                <a:t>TOTAL</a:t>
              </a:r>
              <a:r>
                <a:rPr lang="pt-BR" sz="1400" baseline="0">
                  <a:solidFill>
                    <a:schemeClr val="bg1"/>
                  </a:solidFill>
                  <a:latin typeface="Verdana" panose="020B0604030504040204" pitchFamily="34" charset="0"/>
                  <a:ea typeface="Verdana" panose="020B0604030504040204" pitchFamily="34" charset="0"/>
                </a:rPr>
                <a:t> SUBSCRIPTIONS EA PLAY SEASON PASS</a:t>
              </a:r>
              <a:endParaRPr lang="pt-BR" sz="1400">
                <a:solidFill>
                  <a:schemeClr val="bg1"/>
                </a:solidFill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BF137B5E-DD55-4501-930C-49A8B9119015}"/>
              </a:ext>
            </a:extLst>
          </xdr:cNvPr>
          <xdr:cNvGrpSpPr/>
        </xdr:nvGrpSpPr>
        <xdr:grpSpPr>
          <a:xfrm>
            <a:off x="11725275" y="1819275"/>
            <a:ext cx="1549476" cy="752476"/>
            <a:chOff x="3495675" y="5400674"/>
            <a:chExt cx="1549476" cy="752476"/>
          </a:xfrm>
        </xdr:grpSpPr>
        <xdr:pic>
          <xdr:nvPicPr>
            <xdr:cNvPr id="22" name="Imagem 21">
              <a:extLst>
                <a:ext uri="{FF2B5EF4-FFF2-40B4-BE49-F238E27FC236}">
                  <a16:creationId xmlns:a16="http://schemas.microsoft.com/office/drawing/2014/main" id="{518C65D0-DA99-1AFB-F07A-E128A1D0B6D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3" name="Gráfico 22">
              <a:extLst>
                <a:ext uri="{FF2B5EF4-FFF2-40B4-BE49-F238E27FC236}">
                  <a16:creationId xmlns:a16="http://schemas.microsoft.com/office/drawing/2014/main" id="{202C787D-3CED-3A66-50B4-551DC8A023DB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110656</xdr:colOff>
      <xdr:row>16</xdr:row>
      <xdr:rowOff>166488</xdr:rowOff>
    </xdr:from>
    <xdr:to>
      <xdr:col>24</xdr:col>
      <xdr:colOff>447433</xdr:colOff>
      <xdr:row>19</xdr:row>
      <xdr:rowOff>149326</xdr:rowOff>
    </xdr:to>
    <xdr:sp macro="" textlink="">
      <xdr:nvSpPr>
        <xdr:cNvPr id="28" name="Retângulo: Cantos Superiores Arredondados 27">
          <a:extLst>
            <a:ext uri="{FF2B5EF4-FFF2-40B4-BE49-F238E27FC236}">
              <a16:creationId xmlns:a16="http://schemas.microsoft.com/office/drawing/2014/main" id="{766838A9-DDC9-43CF-9141-C949B38F72C8}"/>
            </a:ext>
          </a:extLst>
        </xdr:cNvPr>
        <xdr:cNvSpPr/>
      </xdr:nvSpPr>
      <xdr:spPr>
        <a:xfrm>
          <a:off x="2532727" y="3513845"/>
          <a:ext cx="13698992" cy="55433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TOTAL</a:t>
          </a:r>
          <a:r>
            <a:rPr lang="pt-BR" sz="1400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SUBSCRIPTIONS XBOX GAME PASS</a:t>
          </a:r>
          <a:endParaRPr lang="pt-BR" sz="1400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>
    <xdr:from>
      <xdr:col>0</xdr:col>
      <xdr:colOff>144576</xdr:colOff>
      <xdr:row>0</xdr:row>
      <xdr:rowOff>113960</xdr:rowOff>
    </xdr:from>
    <xdr:to>
      <xdr:col>0</xdr:col>
      <xdr:colOff>1156607</xdr:colOff>
      <xdr:row>4</xdr:row>
      <xdr:rowOff>78241</xdr:rowOff>
    </xdr:to>
    <xdr:sp macro="" textlink="">
      <xdr:nvSpPr>
        <xdr:cNvPr id="29" name="Elipse 28">
          <a:extLst>
            <a:ext uri="{FF2B5EF4-FFF2-40B4-BE49-F238E27FC236}">
              <a16:creationId xmlns:a16="http://schemas.microsoft.com/office/drawing/2014/main" id="{F8B0FDC5-509A-467F-AA8F-FF141D3EEACD}"/>
            </a:ext>
          </a:extLst>
        </xdr:cNvPr>
        <xdr:cNvSpPr/>
      </xdr:nvSpPr>
      <xdr:spPr>
        <a:xfrm>
          <a:off x="144576" y="113960"/>
          <a:ext cx="1012031" cy="1012031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57244</xdr:colOff>
      <xdr:row>5</xdr:row>
      <xdr:rowOff>96188</xdr:rowOff>
    </xdr:from>
    <xdr:to>
      <xdr:col>0</xdr:col>
      <xdr:colOff>1962244</xdr:colOff>
      <xdr:row>7</xdr:row>
      <xdr:rowOff>41759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054F1969-1497-E8C5-BBDF-B01B683571D8}"/>
            </a:ext>
          </a:extLst>
        </xdr:cNvPr>
        <xdr:cNvSpPr/>
      </xdr:nvSpPr>
      <xdr:spPr>
        <a:xfrm>
          <a:off x="57244" y="1239188"/>
          <a:ext cx="1905000" cy="20176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/>
            <a:t>Bem</a:t>
          </a:r>
          <a:r>
            <a:rPr lang="pt-BR" sz="1100" b="1" baseline="0"/>
            <a:t> vindo, Liana</a:t>
          </a:r>
          <a:endParaRPr lang="pt-BR" sz="1100" b="1"/>
        </a:p>
      </xdr:txBody>
    </xdr:sp>
    <xdr:clientData/>
  </xdr:twoCellAnchor>
  <xdr:twoCellAnchor>
    <xdr:from>
      <xdr:col>1</xdr:col>
      <xdr:colOff>236481</xdr:colOff>
      <xdr:row>3</xdr:row>
      <xdr:rowOff>85396</xdr:rowOff>
    </xdr:from>
    <xdr:to>
      <xdr:col>10</xdr:col>
      <xdr:colOff>177362</xdr:colOff>
      <xdr:row>5</xdr:row>
      <xdr:rowOff>83519</xdr:rowOff>
    </xdr:to>
    <xdr:sp macro="" textlink="">
      <xdr:nvSpPr>
        <xdr:cNvPr id="31" name="Retângulo: Cantos Arredondados 30">
          <a:extLst>
            <a:ext uri="{FF2B5EF4-FFF2-40B4-BE49-F238E27FC236}">
              <a16:creationId xmlns:a16="http://schemas.microsoft.com/office/drawing/2014/main" id="{8B84952D-E5AD-4192-BA33-0E0DF02CC28A}"/>
            </a:ext>
          </a:extLst>
        </xdr:cNvPr>
        <xdr:cNvSpPr/>
      </xdr:nvSpPr>
      <xdr:spPr>
        <a:xfrm>
          <a:off x="2417378" y="1024758"/>
          <a:ext cx="5136932" cy="201761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pt-BR" sz="1100" b="0">
              <a:solidFill>
                <a:schemeClr val="tx1">
                  <a:lumMod val="85000"/>
                  <a:lumOff val="15000"/>
                </a:schemeClr>
              </a:solidFill>
              <a:effectLst/>
              <a:latin typeface="+mn-lt"/>
              <a:ea typeface="+mn-ea"/>
              <a:cs typeface="+mn-cs"/>
            </a:rPr>
            <a:t>Calculation period: 01/01/2024 - 31/12/2024 | Update date: 25/12/2024 09:00:00</a:t>
          </a:r>
          <a:endParaRPr lang="pt-BR">
            <a:solidFill>
              <a:schemeClr val="tx1">
                <a:lumMod val="85000"/>
                <a:lumOff val="15000"/>
              </a:schemeClr>
            </a:solidFill>
            <a:effectLst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nicius lordaro" refreshedDate="46068.960725694444" createdVersion="8" refreshedVersion="8" minRefreshableVersion="3" recordCount="295" xr:uid="{D3A6D13A-6EFE-431E-9565-79F299D9E679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1985866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n v="30"/>
    <s v="Yes"/>
    <n v="20"/>
    <n v="5"/>
    <n v="60"/>
  </r>
  <r>
    <n v="3232"/>
    <x v="1"/>
    <x v="1"/>
    <d v="2024-01-15T00:00:00"/>
    <x v="1"/>
    <n v="5"/>
    <x v="1"/>
    <s v="No"/>
    <s v="-"/>
    <s v="No"/>
    <n v="0"/>
    <n v="0"/>
    <n v="5"/>
  </r>
  <r>
    <n v="3233"/>
    <x v="2"/>
    <x v="2"/>
    <d v="2024-02-10T00:00:00"/>
    <x v="0"/>
    <n v="10"/>
    <x v="2"/>
    <s v="No"/>
    <s v="-"/>
    <s v="Yes"/>
    <n v="20"/>
    <n v="10"/>
    <n v="20"/>
  </r>
  <r>
    <n v="3234"/>
    <x v="3"/>
    <x v="0"/>
    <d v="2024-02-20T00:00:00"/>
    <x v="1"/>
    <n v="15"/>
    <x v="0"/>
    <s v="Yes"/>
    <n v="30"/>
    <s v="Yes"/>
    <n v="20"/>
    <n v="3"/>
    <n v="62"/>
  </r>
  <r>
    <n v="3235"/>
    <x v="4"/>
    <x v="1"/>
    <d v="2024-03-05T00:00:00"/>
    <x v="0"/>
    <n v="5"/>
    <x v="0"/>
    <s v="No"/>
    <s v="-"/>
    <s v="No"/>
    <n v="0"/>
    <n v="1"/>
    <n v="4"/>
  </r>
  <r>
    <n v="3236"/>
    <x v="5"/>
    <x v="2"/>
    <d v="2024-03-02T00:00:00"/>
    <x v="1"/>
    <n v="10"/>
    <x v="0"/>
    <s v="No"/>
    <s v="-"/>
    <s v="Yes"/>
    <n v="20"/>
    <n v="2"/>
    <n v="28"/>
  </r>
  <r>
    <n v="3237"/>
    <x v="6"/>
    <x v="0"/>
    <d v="2024-03-03T00:00:00"/>
    <x v="0"/>
    <n v="15"/>
    <x v="2"/>
    <s v="Yes"/>
    <n v="30"/>
    <s v="Yes"/>
    <n v="20"/>
    <n v="10"/>
    <n v="55"/>
  </r>
  <r>
    <n v="3238"/>
    <x v="7"/>
    <x v="1"/>
    <d v="2024-03-04T00:00:00"/>
    <x v="0"/>
    <n v="5"/>
    <x v="1"/>
    <s v="No"/>
    <s v="-"/>
    <s v="No"/>
    <n v="0"/>
    <n v="0"/>
    <n v="5"/>
  </r>
  <r>
    <n v="3239"/>
    <x v="8"/>
    <x v="0"/>
    <d v="2024-03-05T00:00:00"/>
    <x v="1"/>
    <n v="15"/>
    <x v="0"/>
    <s v="Yes"/>
    <n v="30"/>
    <s v="Yes"/>
    <n v="20"/>
    <n v="5"/>
    <n v="60"/>
  </r>
  <r>
    <n v="3240"/>
    <x v="9"/>
    <x v="2"/>
    <d v="2024-03-06T00:00:00"/>
    <x v="0"/>
    <n v="10"/>
    <x v="2"/>
    <s v="No"/>
    <s v="-"/>
    <s v="Yes"/>
    <n v="20"/>
    <n v="15"/>
    <n v="15"/>
  </r>
  <r>
    <n v="3241"/>
    <x v="10"/>
    <x v="1"/>
    <d v="2024-03-07T00:00:00"/>
    <x v="1"/>
    <n v="5"/>
    <x v="0"/>
    <s v="No"/>
    <s v="-"/>
    <s v="No"/>
    <n v="0"/>
    <n v="1"/>
    <n v="4"/>
  </r>
  <r>
    <n v="3242"/>
    <x v="11"/>
    <x v="0"/>
    <d v="2024-03-08T00:00:00"/>
    <x v="0"/>
    <n v="15"/>
    <x v="1"/>
    <s v="Yes"/>
    <n v="30"/>
    <s v="Yes"/>
    <n v="20"/>
    <n v="20"/>
    <n v="45"/>
  </r>
  <r>
    <n v="3243"/>
    <x v="12"/>
    <x v="2"/>
    <d v="2024-03-09T00:00:00"/>
    <x v="1"/>
    <n v="10"/>
    <x v="0"/>
    <s v="No"/>
    <s v="-"/>
    <s v="Yes"/>
    <n v="20"/>
    <n v="10"/>
    <n v="20"/>
  </r>
  <r>
    <n v="3244"/>
    <x v="13"/>
    <x v="1"/>
    <d v="2024-03-10T00:00:00"/>
    <x v="0"/>
    <n v="5"/>
    <x v="2"/>
    <s v="No"/>
    <s v="-"/>
    <s v="No"/>
    <n v="0"/>
    <n v="0"/>
    <n v="5"/>
  </r>
  <r>
    <n v="3245"/>
    <x v="14"/>
    <x v="0"/>
    <d v="2024-03-11T00:00:00"/>
    <x v="1"/>
    <n v="15"/>
    <x v="0"/>
    <s v="Yes"/>
    <n v="30"/>
    <s v="Yes"/>
    <n v="20"/>
    <n v="8"/>
    <n v="57"/>
  </r>
  <r>
    <n v="3246"/>
    <x v="15"/>
    <x v="2"/>
    <d v="2024-03-12T00:00:00"/>
    <x v="0"/>
    <n v="10"/>
    <x v="1"/>
    <s v="No"/>
    <s v="-"/>
    <s v="Yes"/>
    <n v="20"/>
    <n v="12"/>
    <n v="18"/>
  </r>
  <r>
    <n v="3247"/>
    <x v="16"/>
    <x v="1"/>
    <d v="2024-03-13T00:00:00"/>
    <x v="1"/>
    <n v="5"/>
    <x v="0"/>
    <s v="No"/>
    <s v="-"/>
    <s v="No"/>
    <n v="0"/>
    <n v="2"/>
    <n v="3"/>
  </r>
  <r>
    <n v="3248"/>
    <x v="17"/>
    <x v="0"/>
    <d v="2024-03-14T00:00:00"/>
    <x v="0"/>
    <n v="15"/>
    <x v="2"/>
    <s v="Yes"/>
    <n v="30"/>
    <s v="Yes"/>
    <n v="20"/>
    <n v="7"/>
    <n v="58"/>
  </r>
  <r>
    <n v="3249"/>
    <x v="18"/>
    <x v="2"/>
    <d v="2024-03-15T00:00:00"/>
    <x v="1"/>
    <n v="10"/>
    <x v="0"/>
    <s v="No"/>
    <s v="-"/>
    <s v="Yes"/>
    <n v="20"/>
    <n v="5"/>
    <n v="25"/>
  </r>
  <r>
    <n v="3250"/>
    <x v="19"/>
    <x v="1"/>
    <d v="2024-03-16T00:00:00"/>
    <x v="0"/>
    <n v="5"/>
    <x v="1"/>
    <s v="No"/>
    <s v="-"/>
    <s v="No"/>
    <n v="0"/>
    <n v="0"/>
    <n v="5"/>
  </r>
  <r>
    <n v="3251"/>
    <x v="20"/>
    <x v="0"/>
    <d v="2024-03-17T00:00:00"/>
    <x v="1"/>
    <n v="15"/>
    <x v="0"/>
    <s v="Yes"/>
    <n v="30"/>
    <s v="Yes"/>
    <n v="20"/>
    <n v="3"/>
    <n v="62"/>
  </r>
  <r>
    <n v="3252"/>
    <x v="21"/>
    <x v="2"/>
    <d v="2024-03-18T00:00:00"/>
    <x v="0"/>
    <n v="10"/>
    <x v="2"/>
    <s v="No"/>
    <s v="-"/>
    <s v="Yes"/>
    <n v="20"/>
    <n v="15"/>
    <n v="15"/>
  </r>
  <r>
    <n v="3253"/>
    <x v="22"/>
    <x v="1"/>
    <d v="2024-03-19T00:00:00"/>
    <x v="1"/>
    <n v="5"/>
    <x v="0"/>
    <s v="No"/>
    <s v="-"/>
    <s v="No"/>
    <n v="0"/>
    <n v="1"/>
    <n v="4"/>
  </r>
  <r>
    <n v="3254"/>
    <x v="23"/>
    <x v="0"/>
    <d v="2024-03-20T00:00:00"/>
    <x v="0"/>
    <n v="15"/>
    <x v="1"/>
    <s v="Yes"/>
    <n v="30"/>
    <s v="Yes"/>
    <n v="20"/>
    <n v="20"/>
    <n v="45"/>
  </r>
  <r>
    <n v="3255"/>
    <x v="24"/>
    <x v="2"/>
    <d v="2024-03-21T00:00:00"/>
    <x v="1"/>
    <n v="10"/>
    <x v="0"/>
    <s v="No"/>
    <s v="-"/>
    <s v="Yes"/>
    <n v="20"/>
    <n v="10"/>
    <n v="20"/>
  </r>
  <r>
    <n v="3256"/>
    <x v="25"/>
    <x v="1"/>
    <d v="2024-03-22T00:00:00"/>
    <x v="0"/>
    <n v="5"/>
    <x v="2"/>
    <s v="No"/>
    <s v="-"/>
    <s v="No"/>
    <n v="0"/>
    <n v="0"/>
    <n v="5"/>
  </r>
  <r>
    <n v="3257"/>
    <x v="26"/>
    <x v="0"/>
    <d v="2024-03-23T00:00:00"/>
    <x v="1"/>
    <n v="15"/>
    <x v="0"/>
    <s v="Yes"/>
    <n v="30"/>
    <s v="Yes"/>
    <n v="20"/>
    <n v="5"/>
    <n v="60"/>
  </r>
  <r>
    <n v="3258"/>
    <x v="27"/>
    <x v="2"/>
    <d v="2024-03-24T00:00:00"/>
    <x v="0"/>
    <n v="10"/>
    <x v="1"/>
    <s v="No"/>
    <s v="-"/>
    <s v="Yes"/>
    <n v="20"/>
    <n v="15"/>
    <n v="15"/>
  </r>
  <r>
    <n v="3259"/>
    <x v="28"/>
    <x v="1"/>
    <d v="2024-03-25T00:00:00"/>
    <x v="1"/>
    <n v="5"/>
    <x v="0"/>
    <s v="No"/>
    <s v="-"/>
    <s v="No"/>
    <n v="0"/>
    <n v="1"/>
    <n v="4"/>
  </r>
  <r>
    <n v="3260"/>
    <x v="29"/>
    <x v="0"/>
    <d v="2024-03-26T00:00:00"/>
    <x v="0"/>
    <n v="15"/>
    <x v="2"/>
    <s v="Yes"/>
    <n v="30"/>
    <s v="Yes"/>
    <n v="20"/>
    <n v="7"/>
    <n v="58"/>
  </r>
  <r>
    <n v="3261"/>
    <x v="30"/>
    <x v="2"/>
    <d v="2024-03-27T00:00:00"/>
    <x v="1"/>
    <n v="10"/>
    <x v="0"/>
    <s v="No"/>
    <s v="-"/>
    <s v="Yes"/>
    <n v="20"/>
    <n v="10"/>
    <n v="20"/>
  </r>
  <r>
    <n v="3262"/>
    <x v="31"/>
    <x v="1"/>
    <d v="2024-03-28T00:00:00"/>
    <x v="0"/>
    <n v="5"/>
    <x v="1"/>
    <s v="No"/>
    <s v="-"/>
    <s v="No"/>
    <n v="0"/>
    <n v="0"/>
    <n v="5"/>
  </r>
  <r>
    <n v="3263"/>
    <x v="32"/>
    <x v="0"/>
    <d v="2024-03-29T00:00:00"/>
    <x v="1"/>
    <n v="15"/>
    <x v="0"/>
    <s v="Yes"/>
    <n v="30"/>
    <s v="Yes"/>
    <n v="20"/>
    <n v="3"/>
    <n v="62"/>
  </r>
  <r>
    <n v="3264"/>
    <x v="33"/>
    <x v="2"/>
    <d v="2024-03-30T00:00:00"/>
    <x v="0"/>
    <n v="10"/>
    <x v="2"/>
    <s v="No"/>
    <s v="-"/>
    <s v="Yes"/>
    <n v="20"/>
    <n v="15"/>
    <n v="15"/>
  </r>
  <r>
    <n v="3265"/>
    <x v="34"/>
    <x v="1"/>
    <d v="2024-03-31T00:00:00"/>
    <x v="1"/>
    <n v="5"/>
    <x v="0"/>
    <s v="No"/>
    <s v="-"/>
    <s v="No"/>
    <n v="0"/>
    <n v="1"/>
    <n v="4"/>
  </r>
  <r>
    <n v="3266"/>
    <x v="35"/>
    <x v="1"/>
    <d v="2024-04-01T00:00:00"/>
    <x v="0"/>
    <n v="5"/>
    <x v="0"/>
    <s v="No"/>
    <s v="-"/>
    <s v="No"/>
    <n v="0"/>
    <n v="0"/>
    <n v="5"/>
  </r>
  <r>
    <n v="3267"/>
    <x v="36"/>
    <x v="0"/>
    <d v="2024-04-02T00:00:00"/>
    <x v="1"/>
    <n v="15"/>
    <x v="2"/>
    <s v="Yes"/>
    <n v="30"/>
    <s v="Yes"/>
    <n v="20"/>
    <n v="7"/>
    <n v="58"/>
  </r>
  <r>
    <n v="3268"/>
    <x v="37"/>
    <x v="2"/>
    <d v="2024-04-03T00:00:00"/>
    <x v="0"/>
    <n v="10"/>
    <x v="1"/>
    <s v="No"/>
    <s v="-"/>
    <s v="Yes"/>
    <n v="20"/>
    <n v="10"/>
    <n v="20"/>
  </r>
  <r>
    <n v="3269"/>
    <x v="38"/>
    <x v="1"/>
    <d v="2024-04-04T00:00:00"/>
    <x v="1"/>
    <n v="5"/>
    <x v="2"/>
    <s v="No"/>
    <s v="-"/>
    <s v="No"/>
    <n v="0"/>
    <n v="1"/>
    <n v="4"/>
  </r>
  <r>
    <n v="3270"/>
    <x v="39"/>
    <x v="0"/>
    <d v="2024-04-05T00:00:00"/>
    <x v="0"/>
    <n v="15"/>
    <x v="0"/>
    <s v="Yes"/>
    <n v="30"/>
    <s v="Yes"/>
    <n v="20"/>
    <n v="15"/>
    <n v="50"/>
  </r>
  <r>
    <n v="3271"/>
    <x v="40"/>
    <x v="2"/>
    <d v="2024-04-06T00:00:00"/>
    <x v="1"/>
    <n v="10"/>
    <x v="0"/>
    <s v="No"/>
    <s v="-"/>
    <s v="Yes"/>
    <n v="20"/>
    <n v="5"/>
    <n v="25"/>
  </r>
  <r>
    <n v="3272"/>
    <x v="41"/>
    <x v="1"/>
    <d v="2024-04-07T00:00:00"/>
    <x v="0"/>
    <n v="5"/>
    <x v="1"/>
    <s v="No"/>
    <s v="-"/>
    <s v="No"/>
    <n v="0"/>
    <n v="0"/>
    <n v="5"/>
  </r>
  <r>
    <n v="3273"/>
    <x v="42"/>
    <x v="0"/>
    <d v="2024-04-08T00:00:00"/>
    <x v="1"/>
    <n v="15"/>
    <x v="2"/>
    <s v="Yes"/>
    <n v="30"/>
    <s v="Yes"/>
    <n v="20"/>
    <n v="20"/>
    <n v="45"/>
  </r>
  <r>
    <n v="3274"/>
    <x v="43"/>
    <x v="2"/>
    <d v="2024-04-09T00:00:00"/>
    <x v="0"/>
    <n v="10"/>
    <x v="2"/>
    <s v="No"/>
    <s v="-"/>
    <s v="Yes"/>
    <n v="20"/>
    <n v="12"/>
    <n v="18"/>
  </r>
  <r>
    <n v="3275"/>
    <x v="44"/>
    <x v="1"/>
    <d v="2024-04-10T00:00:00"/>
    <x v="1"/>
    <n v="5"/>
    <x v="0"/>
    <s v="No"/>
    <s v="-"/>
    <s v="No"/>
    <n v="0"/>
    <n v="2"/>
    <n v="3"/>
  </r>
  <r>
    <n v="3276"/>
    <x v="45"/>
    <x v="0"/>
    <d v="2024-04-11T00:00:00"/>
    <x v="0"/>
    <n v="15"/>
    <x v="1"/>
    <s v="Yes"/>
    <n v="30"/>
    <s v="Yes"/>
    <n v="20"/>
    <n v="5"/>
    <n v="60"/>
  </r>
  <r>
    <n v="3277"/>
    <x v="46"/>
    <x v="2"/>
    <d v="2024-04-12T00:00:00"/>
    <x v="1"/>
    <n v="10"/>
    <x v="0"/>
    <s v="No"/>
    <s v="-"/>
    <s v="Yes"/>
    <n v="20"/>
    <n v="10"/>
    <n v="20"/>
  </r>
  <r>
    <n v="3278"/>
    <x v="47"/>
    <x v="1"/>
    <d v="2024-04-13T00:00:00"/>
    <x v="0"/>
    <n v="5"/>
    <x v="2"/>
    <s v="No"/>
    <s v="-"/>
    <s v="No"/>
    <n v="0"/>
    <n v="0"/>
    <n v="5"/>
  </r>
  <r>
    <n v="3279"/>
    <x v="48"/>
    <x v="0"/>
    <d v="2024-04-14T00:00:00"/>
    <x v="1"/>
    <n v="15"/>
    <x v="0"/>
    <s v="Yes"/>
    <n v="30"/>
    <s v="Yes"/>
    <n v="20"/>
    <n v="3"/>
    <n v="62"/>
  </r>
  <r>
    <n v="3280"/>
    <x v="49"/>
    <x v="2"/>
    <d v="2024-04-15T00:00:00"/>
    <x v="0"/>
    <n v="10"/>
    <x v="1"/>
    <s v="No"/>
    <s v="-"/>
    <s v="Yes"/>
    <n v="20"/>
    <n v="15"/>
    <n v="15"/>
  </r>
  <r>
    <n v="3281"/>
    <x v="50"/>
    <x v="1"/>
    <d v="2024-04-16T00:00:00"/>
    <x v="1"/>
    <n v="5"/>
    <x v="0"/>
    <s v="No"/>
    <s v="-"/>
    <s v="No"/>
    <n v="0"/>
    <n v="1"/>
    <n v="4"/>
  </r>
  <r>
    <n v="3282"/>
    <x v="51"/>
    <x v="0"/>
    <d v="2024-04-17T00:00:00"/>
    <x v="0"/>
    <n v="15"/>
    <x v="2"/>
    <s v="Yes"/>
    <n v="30"/>
    <s v="Yes"/>
    <n v="20"/>
    <n v="7"/>
    <n v="58"/>
  </r>
  <r>
    <n v="3283"/>
    <x v="52"/>
    <x v="2"/>
    <d v="2024-04-18T00:00:00"/>
    <x v="1"/>
    <n v="10"/>
    <x v="0"/>
    <s v="No"/>
    <s v="-"/>
    <s v="Yes"/>
    <n v="20"/>
    <n v="10"/>
    <n v="20"/>
  </r>
  <r>
    <n v="3284"/>
    <x v="53"/>
    <x v="1"/>
    <d v="2024-04-19T00:00:00"/>
    <x v="0"/>
    <n v="5"/>
    <x v="1"/>
    <s v="No"/>
    <s v="-"/>
    <s v="No"/>
    <n v="0"/>
    <n v="0"/>
    <n v="5"/>
  </r>
  <r>
    <n v="3285"/>
    <x v="54"/>
    <x v="0"/>
    <d v="2024-04-20T00:00:00"/>
    <x v="1"/>
    <n v="15"/>
    <x v="0"/>
    <s v="Yes"/>
    <n v="30"/>
    <s v="Yes"/>
    <n v="20"/>
    <n v="20"/>
    <n v="45"/>
  </r>
  <r>
    <n v="3286"/>
    <x v="55"/>
    <x v="2"/>
    <d v="2024-04-21T00:00:00"/>
    <x v="0"/>
    <n v="10"/>
    <x v="2"/>
    <s v="No"/>
    <s v="-"/>
    <s v="Yes"/>
    <n v="20"/>
    <n v="15"/>
    <n v="15"/>
  </r>
  <r>
    <n v="3287"/>
    <x v="56"/>
    <x v="1"/>
    <d v="2024-04-22T00:00:00"/>
    <x v="1"/>
    <n v="5"/>
    <x v="0"/>
    <s v="No"/>
    <s v="-"/>
    <s v="No"/>
    <n v="0"/>
    <n v="1"/>
    <n v="4"/>
  </r>
  <r>
    <n v="3288"/>
    <x v="57"/>
    <x v="0"/>
    <d v="2024-04-23T00:00:00"/>
    <x v="0"/>
    <n v="15"/>
    <x v="1"/>
    <s v="Yes"/>
    <n v="30"/>
    <s v="Yes"/>
    <n v="20"/>
    <n v="3"/>
    <n v="62"/>
  </r>
  <r>
    <n v="3289"/>
    <x v="58"/>
    <x v="2"/>
    <d v="2024-04-24T00:00:00"/>
    <x v="1"/>
    <n v="10"/>
    <x v="0"/>
    <s v="No"/>
    <s v="-"/>
    <s v="Yes"/>
    <n v="20"/>
    <n v="10"/>
    <n v="20"/>
  </r>
  <r>
    <n v="3290"/>
    <x v="59"/>
    <x v="1"/>
    <d v="2024-04-25T00:00:00"/>
    <x v="0"/>
    <n v="5"/>
    <x v="2"/>
    <s v="No"/>
    <s v="-"/>
    <s v="No"/>
    <n v="0"/>
    <n v="0"/>
    <n v="5"/>
  </r>
  <r>
    <n v="3291"/>
    <x v="60"/>
    <x v="0"/>
    <d v="2024-04-26T00:00:00"/>
    <x v="1"/>
    <n v="15"/>
    <x v="0"/>
    <s v="Yes"/>
    <n v="30"/>
    <s v="Yes"/>
    <n v="20"/>
    <n v="5"/>
    <n v="60"/>
  </r>
  <r>
    <n v="3292"/>
    <x v="61"/>
    <x v="2"/>
    <d v="2024-04-27T00:00:00"/>
    <x v="0"/>
    <n v="10"/>
    <x v="1"/>
    <s v="No"/>
    <s v="-"/>
    <s v="Yes"/>
    <n v="20"/>
    <n v="15"/>
    <n v="15"/>
  </r>
  <r>
    <n v="3293"/>
    <x v="62"/>
    <x v="1"/>
    <d v="2024-04-28T00:00:00"/>
    <x v="1"/>
    <n v="5"/>
    <x v="0"/>
    <s v="No"/>
    <s v="-"/>
    <s v="No"/>
    <n v="0"/>
    <n v="1"/>
    <n v="4"/>
  </r>
  <r>
    <n v="3294"/>
    <x v="63"/>
    <x v="0"/>
    <d v="2024-04-29T00:00:00"/>
    <x v="0"/>
    <n v="15"/>
    <x v="2"/>
    <s v="Yes"/>
    <n v="30"/>
    <s v="Yes"/>
    <n v="20"/>
    <n v="20"/>
    <n v="45"/>
  </r>
  <r>
    <n v="3295"/>
    <x v="64"/>
    <x v="2"/>
    <d v="2024-04-30T00:00:00"/>
    <x v="1"/>
    <n v="10"/>
    <x v="0"/>
    <s v="No"/>
    <s v="-"/>
    <s v="Yes"/>
    <n v="20"/>
    <n v="5"/>
    <n v="25"/>
  </r>
  <r>
    <n v="3296"/>
    <x v="65"/>
    <x v="1"/>
    <d v="2024-05-01T00:00:00"/>
    <x v="1"/>
    <n v="5"/>
    <x v="0"/>
    <s v="No"/>
    <s v="-"/>
    <s v="No"/>
    <n v="0"/>
    <n v="0"/>
    <n v="5"/>
  </r>
  <r>
    <n v="3297"/>
    <x v="66"/>
    <x v="0"/>
    <d v="2024-05-02T00:00:00"/>
    <x v="0"/>
    <n v="15"/>
    <x v="2"/>
    <s v="Yes"/>
    <n v="30"/>
    <s v="Yes"/>
    <n v="20"/>
    <n v="7"/>
    <n v="58"/>
  </r>
  <r>
    <n v="3298"/>
    <x v="67"/>
    <x v="2"/>
    <d v="2024-05-03T00:00:00"/>
    <x v="1"/>
    <n v="10"/>
    <x v="1"/>
    <s v="No"/>
    <s v="-"/>
    <s v="Yes"/>
    <n v="20"/>
    <n v="10"/>
    <n v="20"/>
  </r>
  <r>
    <n v="3299"/>
    <x v="68"/>
    <x v="1"/>
    <d v="2024-05-04T00:00:00"/>
    <x v="0"/>
    <n v="5"/>
    <x v="2"/>
    <s v="No"/>
    <s v="-"/>
    <s v="No"/>
    <n v="0"/>
    <n v="1"/>
    <n v="4"/>
  </r>
  <r>
    <n v="3300"/>
    <x v="69"/>
    <x v="0"/>
    <d v="2024-05-05T00:00:00"/>
    <x v="1"/>
    <n v="15"/>
    <x v="0"/>
    <s v="Yes"/>
    <n v="30"/>
    <s v="Yes"/>
    <n v="20"/>
    <n v="15"/>
    <n v="50"/>
  </r>
  <r>
    <n v="3301"/>
    <x v="70"/>
    <x v="2"/>
    <d v="2024-05-06T00:00:00"/>
    <x v="0"/>
    <n v="10"/>
    <x v="0"/>
    <s v="No"/>
    <s v="-"/>
    <s v="Yes"/>
    <n v="20"/>
    <n v="5"/>
    <n v="25"/>
  </r>
  <r>
    <n v="3302"/>
    <x v="71"/>
    <x v="1"/>
    <d v="2024-05-07T00:00:00"/>
    <x v="1"/>
    <n v="5"/>
    <x v="1"/>
    <s v="No"/>
    <s v="-"/>
    <s v="No"/>
    <n v="0"/>
    <n v="0"/>
    <n v="5"/>
  </r>
  <r>
    <n v="3303"/>
    <x v="72"/>
    <x v="0"/>
    <d v="2024-05-08T00:00:00"/>
    <x v="0"/>
    <n v="15"/>
    <x v="2"/>
    <s v="Yes"/>
    <n v="30"/>
    <s v="Yes"/>
    <n v="20"/>
    <n v="20"/>
    <n v="45"/>
  </r>
  <r>
    <n v="3304"/>
    <x v="73"/>
    <x v="2"/>
    <d v="2024-05-09T00:00:00"/>
    <x v="1"/>
    <n v="10"/>
    <x v="2"/>
    <s v="No"/>
    <s v="-"/>
    <s v="Yes"/>
    <n v="20"/>
    <n v="12"/>
    <n v="18"/>
  </r>
  <r>
    <n v="3305"/>
    <x v="74"/>
    <x v="1"/>
    <d v="2024-05-10T00:00:00"/>
    <x v="0"/>
    <n v="5"/>
    <x v="0"/>
    <s v="No"/>
    <s v="-"/>
    <s v="No"/>
    <n v="0"/>
    <n v="2"/>
    <n v="3"/>
  </r>
  <r>
    <n v="3306"/>
    <x v="75"/>
    <x v="0"/>
    <d v="2024-05-11T00:00:00"/>
    <x v="1"/>
    <n v="15"/>
    <x v="1"/>
    <s v="Yes"/>
    <n v="30"/>
    <s v="Yes"/>
    <n v="20"/>
    <n v="5"/>
    <n v="60"/>
  </r>
  <r>
    <n v="3307"/>
    <x v="76"/>
    <x v="2"/>
    <d v="2024-05-12T00:00:00"/>
    <x v="0"/>
    <n v="10"/>
    <x v="0"/>
    <s v="No"/>
    <s v="-"/>
    <s v="Yes"/>
    <n v="20"/>
    <n v="10"/>
    <n v="20"/>
  </r>
  <r>
    <n v="3308"/>
    <x v="77"/>
    <x v="1"/>
    <d v="2024-05-13T00:00:00"/>
    <x v="1"/>
    <n v="5"/>
    <x v="2"/>
    <s v="No"/>
    <s v="-"/>
    <s v="No"/>
    <n v="0"/>
    <n v="0"/>
    <n v="5"/>
  </r>
  <r>
    <n v="3309"/>
    <x v="78"/>
    <x v="0"/>
    <d v="2024-05-14T00:00:00"/>
    <x v="0"/>
    <n v="15"/>
    <x v="0"/>
    <s v="Yes"/>
    <n v="30"/>
    <s v="Yes"/>
    <n v="20"/>
    <n v="3"/>
    <n v="62"/>
  </r>
  <r>
    <n v="3310"/>
    <x v="79"/>
    <x v="2"/>
    <d v="2024-05-15T00:00:00"/>
    <x v="1"/>
    <n v="10"/>
    <x v="1"/>
    <s v="No"/>
    <s v="-"/>
    <s v="Yes"/>
    <n v="20"/>
    <n v="15"/>
    <n v="15"/>
  </r>
  <r>
    <n v="3311"/>
    <x v="80"/>
    <x v="1"/>
    <d v="2024-05-16T00:00:00"/>
    <x v="0"/>
    <n v="5"/>
    <x v="0"/>
    <s v="No"/>
    <s v="-"/>
    <s v="No"/>
    <n v="0"/>
    <n v="1"/>
    <n v="4"/>
  </r>
  <r>
    <n v="3312"/>
    <x v="81"/>
    <x v="0"/>
    <d v="2024-05-17T00:00:00"/>
    <x v="1"/>
    <n v="15"/>
    <x v="2"/>
    <s v="Yes"/>
    <n v="30"/>
    <s v="Yes"/>
    <n v="20"/>
    <n v="7"/>
    <n v="58"/>
  </r>
  <r>
    <n v="3313"/>
    <x v="82"/>
    <x v="2"/>
    <d v="2024-05-18T00:00:00"/>
    <x v="0"/>
    <n v="10"/>
    <x v="0"/>
    <s v="No"/>
    <s v="-"/>
    <s v="Yes"/>
    <n v="20"/>
    <n v="10"/>
    <n v="20"/>
  </r>
  <r>
    <n v="3314"/>
    <x v="83"/>
    <x v="1"/>
    <d v="2024-05-19T00:00:00"/>
    <x v="1"/>
    <n v="5"/>
    <x v="1"/>
    <s v="No"/>
    <s v="-"/>
    <s v="No"/>
    <n v="0"/>
    <n v="0"/>
    <n v="5"/>
  </r>
  <r>
    <n v="3315"/>
    <x v="84"/>
    <x v="0"/>
    <d v="2024-05-20T00:00:00"/>
    <x v="0"/>
    <n v="15"/>
    <x v="0"/>
    <s v="Yes"/>
    <n v="30"/>
    <s v="Yes"/>
    <n v="20"/>
    <n v="20"/>
    <n v="45"/>
  </r>
  <r>
    <n v="3316"/>
    <x v="85"/>
    <x v="2"/>
    <d v="2024-05-21T00:00:00"/>
    <x v="1"/>
    <n v="10"/>
    <x v="2"/>
    <s v="No"/>
    <s v="-"/>
    <s v="Yes"/>
    <n v="20"/>
    <n v="15"/>
    <n v="15"/>
  </r>
  <r>
    <n v="3317"/>
    <x v="86"/>
    <x v="1"/>
    <d v="2024-05-22T00:00:00"/>
    <x v="0"/>
    <n v="5"/>
    <x v="0"/>
    <s v="No"/>
    <s v="-"/>
    <s v="No"/>
    <n v="0"/>
    <n v="1"/>
    <n v="4"/>
  </r>
  <r>
    <n v="3318"/>
    <x v="87"/>
    <x v="0"/>
    <d v="2024-05-23T00:00:00"/>
    <x v="1"/>
    <n v="15"/>
    <x v="1"/>
    <s v="Yes"/>
    <n v="30"/>
    <s v="Yes"/>
    <n v="20"/>
    <n v="3"/>
    <n v="62"/>
  </r>
  <r>
    <n v="3319"/>
    <x v="88"/>
    <x v="2"/>
    <d v="2024-05-24T00:00:00"/>
    <x v="0"/>
    <n v="10"/>
    <x v="0"/>
    <s v="No"/>
    <s v="-"/>
    <s v="Yes"/>
    <n v="20"/>
    <n v="10"/>
    <n v="20"/>
  </r>
  <r>
    <n v="3320"/>
    <x v="89"/>
    <x v="1"/>
    <d v="2024-05-25T00:00:00"/>
    <x v="1"/>
    <n v="5"/>
    <x v="2"/>
    <s v="No"/>
    <s v="-"/>
    <s v="No"/>
    <n v="0"/>
    <n v="0"/>
    <n v="5"/>
  </r>
  <r>
    <n v="3321"/>
    <x v="90"/>
    <x v="0"/>
    <d v="2024-05-26T00:00:00"/>
    <x v="0"/>
    <n v="15"/>
    <x v="0"/>
    <s v="Yes"/>
    <n v="30"/>
    <s v="Yes"/>
    <n v="20"/>
    <n v="5"/>
    <n v="60"/>
  </r>
  <r>
    <n v="3322"/>
    <x v="91"/>
    <x v="2"/>
    <d v="2024-05-27T00:00:00"/>
    <x v="1"/>
    <n v="10"/>
    <x v="1"/>
    <s v="No"/>
    <s v="-"/>
    <s v="Yes"/>
    <n v="20"/>
    <n v="15"/>
    <n v="15"/>
  </r>
  <r>
    <n v="3323"/>
    <x v="92"/>
    <x v="1"/>
    <d v="2024-05-28T00:00:00"/>
    <x v="0"/>
    <n v="5"/>
    <x v="0"/>
    <s v="No"/>
    <s v="-"/>
    <s v="No"/>
    <n v="0"/>
    <n v="1"/>
    <n v="4"/>
  </r>
  <r>
    <n v="3324"/>
    <x v="93"/>
    <x v="0"/>
    <d v="2024-05-29T00:00:00"/>
    <x v="1"/>
    <n v="15"/>
    <x v="2"/>
    <s v="Yes"/>
    <n v="30"/>
    <s v="Yes"/>
    <n v="20"/>
    <n v="20"/>
    <n v="45"/>
  </r>
  <r>
    <n v="3325"/>
    <x v="94"/>
    <x v="2"/>
    <d v="2024-05-30T00:00:00"/>
    <x v="0"/>
    <n v="10"/>
    <x v="2"/>
    <s v="No"/>
    <s v="-"/>
    <s v="Yes"/>
    <n v="20"/>
    <n v="15"/>
    <n v="15"/>
  </r>
  <r>
    <n v="3326"/>
    <x v="95"/>
    <x v="1"/>
    <d v="2024-05-31T00:00:00"/>
    <x v="1"/>
    <n v="5"/>
    <x v="1"/>
    <s v="No"/>
    <s v="-"/>
    <s v="No"/>
    <n v="0"/>
    <n v="0"/>
    <n v="5"/>
  </r>
  <r>
    <n v="3327"/>
    <x v="96"/>
    <x v="0"/>
    <d v="2024-06-01T00:00:00"/>
    <x v="0"/>
    <n v="15"/>
    <x v="0"/>
    <s v="Yes"/>
    <n v="30"/>
    <s v="Yes"/>
    <n v="20"/>
    <n v="7"/>
    <n v="58"/>
  </r>
  <r>
    <n v="3328"/>
    <x v="97"/>
    <x v="2"/>
    <d v="2024-06-02T00:00:00"/>
    <x v="1"/>
    <n v="10"/>
    <x v="1"/>
    <s v="No"/>
    <s v="-"/>
    <s v="Yes"/>
    <n v="20"/>
    <n v="10"/>
    <n v="20"/>
  </r>
  <r>
    <n v="3329"/>
    <x v="98"/>
    <x v="1"/>
    <d v="2024-06-03T00:00:00"/>
    <x v="0"/>
    <n v="5"/>
    <x v="2"/>
    <s v="No"/>
    <s v="-"/>
    <s v="No"/>
    <n v="0"/>
    <n v="1"/>
    <n v="4"/>
  </r>
  <r>
    <n v="3330"/>
    <x v="99"/>
    <x v="0"/>
    <d v="2024-06-04T00:00:00"/>
    <x v="1"/>
    <n v="15"/>
    <x v="0"/>
    <s v="Yes"/>
    <n v="30"/>
    <s v="Yes"/>
    <n v="20"/>
    <n v="15"/>
    <n v="50"/>
  </r>
  <r>
    <n v="3331"/>
    <x v="100"/>
    <x v="2"/>
    <d v="2024-06-05T00:00:00"/>
    <x v="0"/>
    <n v="10"/>
    <x v="0"/>
    <s v="No"/>
    <s v="-"/>
    <s v="Yes"/>
    <n v="20"/>
    <n v="5"/>
    <n v="25"/>
  </r>
  <r>
    <n v="3332"/>
    <x v="101"/>
    <x v="1"/>
    <d v="2024-06-06T00:00:00"/>
    <x v="1"/>
    <n v="5"/>
    <x v="1"/>
    <s v="No"/>
    <s v="-"/>
    <s v="No"/>
    <n v="0"/>
    <n v="0"/>
    <n v="5"/>
  </r>
  <r>
    <n v="3333"/>
    <x v="102"/>
    <x v="0"/>
    <d v="2024-06-07T00:00:00"/>
    <x v="0"/>
    <n v="15"/>
    <x v="2"/>
    <s v="Yes"/>
    <n v="30"/>
    <s v="Yes"/>
    <n v="20"/>
    <n v="20"/>
    <n v="45"/>
  </r>
  <r>
    <n v="3334"/>
    <x v="103"/>
    <x v="2"/>
    <d v="2024-06-08T00:00:00"/>
    <x v="1"/>
    <n v="10"/>
    <x v="2"/>
    <s v="No"/>
    <s v="-"/>
    <s v="Yes"/>
    <n v="20"/>
    <n v="12"/>
    <n v="18"/>
  </r>
  <r>
    <n v="3335"/>
    <x v="104"/>
    <x v="1"/>
    <d v="2024-06-09T00:00:00"/>
    <x v="0"/>
    <n v="5"/>
    <x v="0"/>
    <s v="No"/>
    <s v="-"/>
    <s v="No"/>
    <n v="0"/>
    <n v="2"/>
    <n v="3"/>
  </r>
  <r>
    <n v="3336"/>
    <x v="105"/>
    <x v="1"/>
    <d v="2024-06-10T00:00:00"/>
    <x v="0"/>
    <n v="5"/>
    <x v="0"/>
    <s v="No"/>
    <s v="-"/>
    <s v="No"/>
    <n v="0"/>
    <n v="0"/>
    <n v="5"/>
  </r>
  <r>
    <n v="3337"/>
    <x v="106"/>
    <x v="0"/>
    <d v="2024-06-11T00:00:00"/>
    <x v="1"/>
    <n v="15"/>
    <x v="2"/>
    <s v="Yes"/>
    <n v="30"/>
    <s v="Yes"/>
    <n v="20"/>
    <n v="7"/>
    <n v="58"/>
  </r>
  <r>
    <n v="3338"/>
    <x v="107"/>
    <x v="2"/>
    <d v="2024-06-12T00:00:00"/>
    <x v="0"/>
    <n v="10"/>
    <x v="1"/>
    <s v="No"/>
    <s v="-"/>
    <s v="Yes"/>
    <n v="20"/>
    <n v="10"/>
    <n v="20"/>
  </r>
  <r>
    <n v="3339"/>
    <x v="108"/>
    <x v="1"/>
    <d v="2024-06-13T00:00:00"/>
    <x v="1"/>
    <n v="5"/>
    <x v="2"/>
    <s v="No"/>
    <s v="-"/>
    <s v="No"/>
    <n v="0"/>
    <n v="1"/>
    <n v="4"/>
  </r>
  <r>
    <n v="3340"/>
    <x v="109"/>
    <x v="0"/>
    <d v="2024-06-14T00:00:00"/>
    <x v="0"/>
    <n v="15"/>
    <x v="0"/>
    <s v="Yes"/>
    <n v="30"/>
    <s v="Yes"/>
    <n v="20"/>
    <n v="15"/>
    <n v="50"/>
  </r>
  <r>
    <n v="3341"/>
    <x v="110"/>
    <x v="2"/>
    <d v="2024-06-15T00:00:00"/>
    <x v="1"/>
    <n v="10"/>
    <x v="0"/>
    <s v="No"/>
    <s v="-"/>
    <s v="Yes"/>
    <n v="20"/>
    <n v="5"/>
    <n v="25"/>
  </r>
  <r>
    <n v="3342"/>
    <x v="111"/>
    <x v="1"/>
    <d v="2024-06-16T00:00:00"/>
    <x v="0"/>
    <n v="5"/>
    <x v="1"/>
    <s v="No"/>
    <s v="-"/>
    <s v="No"/>
    <n v="0"/>
    <n v="0"/>
    <n v="5"/>
  </r>
  <r>
    <n v="3343"/>
    <x v="112"/>
    <x v="0"/>
    <d v="2024-06-17T00:00:00"/>
    <x v="1"/>
    <n v="15"/>
    <x v="2"/>
    <s v="Yes"/>
    <n v="30"/>
    <s v="Yes"/>
    <n v="20"/>
    <n v="20"/>
    <n v="45"/>
  </r>
  <r>
    <n v="3344"/>
    <x v="113"/>
    <x v="2"/>
    <d v="2024-06-18T00:00:00"/>
    <x v="0"/>
    <n v="10"/>
    <x v="2"/>
    <s v="No"/>
    <s v="-"/>
    <s v="Yes"/>
    <n v="20"/>
    <n v="12"/>
    <n v="18"/>
  </r>
  <r>
    <n v="3345"/>
    <x v="114"/>
    <x v="1"/>
    <d v="2024-06-19T00:00:00"/>
    <x v="1"/>
    <n v="5"/>
    <x v="0"/>
    <s v="No"/>
    <s v="-"/>
    <s v="No"/>
    <n v="0"/>
    <n v="2"/>
    <n v="3"/>
  </r>
  <r>
    <n v="3346"/>
    <x v="115"/>
    <x v="0"/>
    <d v="2024-06-20T00:00:00"/>
    <x v="0"/>
    <n v="15"/>
    <x v="1"/>
    <s v="Yes"/>
    <n v="30"/>
    <s v="Yes"/>
    <n v="20"/>
    <n v="5"/>
    <n v="60"/>
  </r>
  <r>
    <n v="3347"/>
    <x v="116"/>
    <x v="2"/>
    <d v="2024-06-21T00:00:00"/>
    <x v="1"/>
    <n v="10"/>
    <x v="0"/>
    <s v="No"/>
    <s v="-"/>
    <s v="Yes"/>
    <n v="20"/>
    <n v="10"/>
    <n v="20"/>
  </r>
  <r>
    <n v="3348"/>
    <x v="117"/>
    <x v="1"/>
    <d v="2024-06-22T00:00:00"/>
    <x v="0"/>
    <n v="5"/>
    <x v="2"/>
    <s v="No"/>
    <s v="-"/>
    <s v="No"/>
    <n v="0"/>
    <n v="0"/>
    <n v="5"/>
  </r>
  <r>
    <n v="3349"/>
    <x v="93"/>
    <x v="0"/>
    <d v="2024-06-23T00:00:00"/>
    <x v="1"/>
    <n v="15"/>
    <x v="0"/>
    <s v="Yes"/>
    <n v="30"/>
    <s v="Yes"/>
    <n v="20"/>
    <n v="3"/>
    <n v="62"/>
  </r>
  <r>
    <n v="3350"/>
    <x v="118"/>
    <x v="2"/>
    <d v="2024-06-24T00:00:00"/>
    <x v="0"/>
    <n v="10"/>
    <x v="1"/>
    <s v="No"/>
    <s v="-"/>
    <s v="Yes"/>
    <n v="20"/>
    <n v="15"/>
    <n v="15"/>
  </r>
  <r>
    <n v="3351"/>
    <x v="119"/>
    <x v="1"/>
    <d v="2024-06-25T00:00:00"/>
    <x v="1"/>
    <n v="5"/>
    <x v="0"/>
    <s v="No"/>
    <s v="-"/>
    <s v="No"/>
    <n v="0"/>
    <n v="1"/>
    <n v="4"/>
  </r>
  <r>
    <n v="3352"/>
    <x v="120"/>
    <x v="0"/>
    <d v="2024-06-26T00:00:00"/>
    <x v="0"/>
    <n v="15"/>
    <x v="2"/>
    <s v="Yes"/>
    <n v="30"/>
    <s v="Yes"/>
    <n v="20"/>
    <n v="7"/>
    <n v="58"/>
  </r>
  <r>
    <n v="3353"/>
    <x v="121"/>
    <x v="2"/>
    <d v="2024-06-27T00:00:00"/>
    <x v="1"/>
    <n v="10"/>
    <x v="0"/>
    <s v="No"/>
    <s v="-"/>
    <s v="Yes"/>
    <n v="20"/>
    <n v="10"/>
    <n v="20"/>
  </r>
  <r>
    <n v="3354"/>
    <x v="122"/>
    <x v="1"/>
    <d v="2024-06-28T00:00:00"/>
    <x v="0"/>
    <n v="5"/>
    <x v="1"/>
    <s v="No"/>
    <s v="-"/>
    <s v="No"/>
    <n v="0"/>
    <n v="0"/>
    <n v="5"/>
  </r>
  <r>
    <n v="3355"/>
    <x v="123"/>
    <x v="0"/>
    <d v="2024-06-29T00:00:00"/>
    <x v="1"/>
    <n v="15"/>
    <x v="0"/>
    <s v="Yes"/>
    <n v="30"/>
    <s v="Yes"/>
    <n v="20"/>
    <n v="20"/>
    <n v="45"/>
  </r>
  <r>
    <n v="3356"/>
    <x v="124"/>
    <x v="2"/>
    <d v="2024-06-30T00:00:00"/>
    <x v="0"/>
    <n v="10"/>
    <x v="2"/>
    <s v="No"/>
    <s v="-"/>
    <s v="Yes"/>
    <n v="20"/>
    <n v="15"/>
    <n v="15"/>
  </r>
  <r>
    <n v="3357"/>
    <x v="125"/>
    <x v="1"/>
    <d v="2024-07-01T00:00:00"/>
    <x v="1"/>
    <n v="5"/>
    <x v="0"/>
    <s v="No"/>
    <s v="-"/>
    <s v="No"/>
    <n v="0"/>
    <n v="1"/>
    <n v="4"/>
  </r>
  <r>
    <n v="3358"/>
    <x v="126"/>
    <x v="0"/>
    <d v="2024-07-02T00:00:00"/>
    <x v="0"/>
    <n v="15"/>
    <x v="1"/>
    <s v="Yes"/>
    <n v="30"/>
    <s v="Yes"/>
    <n v="20"/>
    <n v="3"/>
    <n v="62"/>
  </r>
  <r>
    <n v="3359"/>
    <x v="127"/>
    <x v="2"/>
    <d v="2024-07-03T00:00:00"/>
    <x v="1"/>
    <n v="10"/>
    <x v="0"/>
    <s v="No"/>
    <s v="-"/>
    <s v="Yes"/>
    <n v="20"/>
    <n v="10"/>
    <n v="20"/>
  </r>
  <r>
    <n v="3360"/>
    <x v="128"/>
    <x v="1"/>
    <d v="2024-07-04T00:00:00"/>
    <x v="0"/>
    <n v="5"/>
    <x v="2"/>
    <s v="No"/>
    <s v="-"/>
    <s v="No"/>
    <n v="0"/>
    <n v="0"/>
    <n v="5"/>
  </r>
  <r>
    <n v="3361"/>
    <x v="129"/>
    <x v="0"/>
    <d v="2024-07-05T00:00:00"/>
    <x v="1"/>
    <n v="15"/>
    <x v="0"/>
    <s v="Yes"/>
    <n v="30"/>
    <s v="Yes"/>
    <n v="20"/>
    <n v="15"/>
    <n v="50"/>
  </r>
  <r>
    <n v="3362"/>
    <x v="130"/>
    <x v="2"/>
    <d v="2024-07-06T00:00:00"/>
    <x v="0"/>
    <n v="10"/>
    <x v="1"/>
    <s v="No"/>
    <s v="-"/>
    <s v="Yes"/>
    <n v="20"/>
    <n v="15"/>
    <n v="15"/>
  </r>
  <r>
    <n v="3363"/>
    <x v="131"/>
    <x v="1"/>
    <d v="2024-07-07T00:00:00"/>
    <x v="1"/>
    <n v="5"/>
    <x v="0"/>
    <s v="No"/>
    <s v="-"/>
    <s v="No"/>
    <n v="0"/>
    <n v="1"/>
    <n v="4"/>
  </r>
  <r>
    <n v="3364"/>
    <x v="132"/>
    <x v="0"/>
    <d v="2024-07-08T00:00:00"/>
    <x v="0"/>
    <n v="15"/>
    <x v="2"/>
    <s v="Yes"/>
    <n v="30"/>
    <s v="Yes"/>
    <n v="20"/>
    <n v="7"/>
    <n v="58"/>
  </r>
  <r>
    <n v="3365"/>
    <x v="133"/>
    <x v="2"/>
    <d v="2024-07-09T00:00:00"/>
    <x v="1"/>
    <n v="10"/>
    <x v="0"/>
    <s v="No"/>
    <s v="-"/>
    <s v="Yes"/>
    <n v="20"/>
    <n v="10"/>
    <n v="20"/>
  </r>
  <r>
    <n v="3366"/>
    <x v="134"/>
    <x v="1"/>
    <d v="2024-07-10T00:00:00"/>
    <x v="0"/>
    <n v="5"/>
    <x v="0"/>
    <s v="No"/>
    <s v="-"/>
    <s v="No"/>
    <n v="0"/>
    <n v="0"/>
    <n v="5"/>
  </r>
  <r>
    <n v="3367"/>
    <x v="135"/>
    <x v="0"/>
    <d v="2024-07-11T00:00:00"/>
    <x v="1"/>
    <n v="15"/>
    <x v="2"/>
    <s v="Yes"/>
    <n v="30"/>
    <s v="Yes"/>
    <n v="20"/>
    <n v="7"/>
    <n v="58"/>
  </r>
  <r>
    <n v="3368"/>
    <x v="136"/>
    <x v="2"/>
    <d v="2024-07-12T00:00:00"/>
    <x v="0"/>
    <n v="10"/>
    <x v="1"/>
    <s v="No"/>
    <s v="-"/>
    <s v="Yes"/>
    <n v="20"/>
    <n v="10"/>
    <n v="20"/>
  </r>
  <r>
    <n v="3369"/>
    <x v="137"/>
    <x v="1"/>
    <d v="2024-07-13T00:00:00"/>
    <x v="1"/>
    <n v="5"/>
    <x v="2"/>
    <s v="No"/>
    <s v="-"/>
    <s v="No"/>
    <n v="0"/>
    <n v="1"/>
    <n v="4"/>
  </r>
  <r>
    <n v="3370"/>
    <x v="138"/>
    <x v="0"/>
    <d v="2024-07-14T00:00:00"/>
    <x v="0"/>
    <n v="15"/>
    <x v="0"/>
    <s v="Yes"/>
    <n v="30"/>
    <s v="Yes"/>
    <n v="20"/>
    <n v="15"/>
    <n v="50"/>
  </r>
  <r>
    <n v="3371"/>
    <x v="139"/>
    <x v="2"/>
    <d v="2024-07-15T00:00:00"/>
    <x v="1"/>
    <n v="10"/>
    <x v="0"/>
    <s v="No"/>
    <s v="-"/>
    <s v="Yes"/>
    <n v="20"/>
    <n v="5"/>
    <n v="25"/>
  </r>
  <r>
    <n v="3372"/>
    <x v="140"/>
    <x v="1"/>
    <d v="2024-07-16T00:00:00"/>
    <x v="0"/>
    <n v="5"/>
    <x v="1"/>
    <s v="No"/>
    <s v="-"/>
    <s v="No"/>
    <n v="0"/>
    <n v="0"/>
    <n v="5"/>
  </r>
  <r>
    <n v="3373"/>
    <x v="141"/>
    <x v="0"/>
    <d v="2024-07-17T00:00:00"/>
    <x v="1"/>
    <n v="15"/>
    <x v="2"/>
    <s v="Yes"/>
    <n v="30"/>
    <s v="Yes"/>
    <n v="20"/>
    <n v="20"/>
    <n v="45"/>
  </r>
  <r>
    <n v="3374"/>
    <x v="142"/>
    <x v="2"/>
    <d v="2024-07-18T00:00:00"/>
    <x v="0"/>
    <n v="10"/>
    <x v="2"/>
    <s v="No"/>
    <s v="-"/>
    <s v="Yes"/>
    <n v="20"/>
    <n v="12"/>
    <n v="18"/>
  </r>
  <r>
    <n v="3375"/>
    <x v="143"/>
    <x v="1"/>
    <d v="2024-07-19T00:00:00"/>
    <x v="1"/>
    <n v="5"/>
    <x v="0"/>
    <s v="No"/>
    <s v="-"/>
    <s v="No"/>
    <n v="0"/>
    <n v="2"/>
    <n v="3"/>
  </r>
  <r>
    <n v="3376"/>
    <x v="144"/>
    <x v="0"/>
    <d v="2024-07-20T00:00:00"/>
    <x v="0"/>
    <n v="15"/>
    <x v="1"/>
    <s v="Yes"/>
    <n v="30"/>
    <s v="Yes"/>
    <n v="20"/>
    <n v="5"/>
    <n v="60"/>
  </r>
  <r>
    <n v="3377"/>
    <x v="145"/>
    <x v="2"/>
    <d v="2024-07-21T00:00:00"/>
    <x v="1"/>
    <n v="10"/>
    <x v="0"/>
    <s v="No"/>
    <s v="-"/>
    <s v="Yes"/>
    <n v="20"/>
    <n v="10"/>
    <n v="20"/>
  </r>
  <r>
    <n v="3378"/>
    <x v="146"/>
    <x v="1"/>
    <d v="2024-07-22T00:00:00"/>
    <x v="0"/>
    <n v="5"/>
    <x v="2"/>
    <s v="No"/>
    <s v="-"/>
    <s v="No"/>
    <n v="0"/>
    <n v="0"/>
    <n v="5"/>
  </r>
  <r>
    <n v="3379"/>
    <x v="147"/>
    <x v="0"/>
    <d v="2024-07-23T00:00:00"/>
    <x v="1"/>
    <n v="15"/>
    <x v="0"/>
    <s v="Yes"/>
    <n v="30"/>
    <s v="Yes"/>
    <n v="20"/>
    <n v="3"/>
    <n v="62"/>
  </r>
  <r>
    <n v="3380"/>
    <x v="148"/>
    <x v="2"/>
    <d v="2024-07-24T00:00:00"/>
    <x v="0"/>
    <n v="10"/>
    <x v="1"/>
    <s v="No"/>
    <s v="-"/>
    <s v="Yes"/>
    <n v="20"/>
    <n v="15"/>
    <n v="15"/>
  </r>
  <r>
    <n v="3381"/>
    <x v="149"/>
    <x v="1"/>
    <d v="2024-07-25T00:00:00"/>
    <x v="1"/>
    <n v="5"/>
    <x v="0"/>
    <s v="No"/>
    <s v="-"/>
    <s v="No"/>
    <n v="0"/>
    <n v="1"/>
    <n v="4"/>
  </r>
  <r>
    <n v="3382"/>
    <x v="150"/>
    <x v="0"/>
    <d v="2024-07-26T00:00:00"/>
    <x v="0"/>
    <n v="15"/>
    <x v="2"/>
    <s v="Yes"/>
    <n v="30"/>
    <s v="Yes"/>
    <n v="20"/>
    <n v="7"/>
    <n v="58"/>
  </r>
  <r>
    <n v="3383"/>
    <x v="151"/>
    <x v="2"/>
    <d v="2024-07-27T00:00:00"/>
    <x v="1"/>
    <n v="10"/>
    <x v="0"/>
    <s v="No"/>
    <s v="-"/>
    <s v="Yes"/>
    <n v="20"/>
    <n v="10"/>
    <n v="20"/>
  </r>
  <r>
    <n v="3384"/>
    <x v="152"/>
    <x v="1"/>
    <d v="2024-07-28T00:00:00"/>
    <x v="0"/>
    <n v="5"/>
    <x v="1"/>
    <s v="No"/>
    <s v="-"/>
    <s v="No"/>
    <n v="0"/>
    <n v="0"/>
    <n v="5"/>
  </r>
  <r>
    <n v="3385"/>
    <x v="153"/>
    <x v="0"/>
    <d v="2024-07-29T00:00:00"/>
    <x v="1"/>
    <n v="15"/>
    <x v="0"/>
    <s v="Yes"/>
    <n v="30"/>
    <s v="Yes"/>
    <n v="20"/>
    <n v="20"/>
    <n v="45"/>
  </r>
  <r>
    <n v="3386"/>
    <x v="154"/>
    <x v="2"/>
    <d v="2024-07-30T00:00:00"/>
    <x v="0"/>
    <n v="10"/>
    <x v="2"/>
    <s v="No"/>
    <s v="-"/>
    <s v="Yes"/>
    <n v="20"/>
    <n v="15"/>
    <n v="15"/>
  </r>
  <r>
    <n v="3387"/>
    <x v="155"/>
    <x v="1"/>
    <d v="2024-07-31T00:00:00"/>
    <x v="1"/>
    <n v="5"/>
    <x v="0"/>
    <s v="No"/>
    <s v="-"/>
    <s v="No"/>
    <n v="0"/>
    <n v="1"/>
    <n v="4"/>
  </r>
  <r>
    <n v="3388"/>
    <x v="156"/>
    <x v="0"/>
    <d v="2024-08-01T00:00:00"/>
    <x v="0"/>
    <n v="15"/>
    <x v="1"/>
    <s v="Yes"/>
    <n v="30"/>
    <s v="Yes"/>
    <n v="20"/>
    <n v="3"/>
    <n v="62"/>
  </r>
  <r>
    <n v="3389"/>
    <x v="157"/>
    <x v="2"/>
    <d v="2024-08-02T00:00:00"/>
    <x v="1"/>
    <n v="10"/>
    <x v="0"/>
    <s v="No"/>
    <s v="-"/>
    <s v="Yes"/>
    <n v="20"/>
    <n v="10"/>
    <n v="20"/>
  </r>
  <r>
    <n v="3390"/>
    <x v="158"/>
    <x v="1"/>
    <d v="2024-08-03T00:00:00"/>
    <x v="0"/>
    <n v="5"/>
    <x v="2"/>
    <s v="No"/>
    <s v="-"/>
    <s v="No"/>
    <n v="0"/>
    <n v="0"/>
    <n v="5"/>
  </r>
  <r>
    <n v="3391"/>
    <x v="58"/>
    <x v="0"/>
    <d v="2024-08-04T00:00:00"/>
    <x v="1"/>
    <n v="15"/>
    <x v="0"/>
    <s v="Yes"/>
    <n v="30"/>
    <s v="Yes"/>
    <n v="20"/>
    <n v="15"/>
    <n v="50"/>
  </r>
  <r>
    <n v="3392"/>
    <x v="159"/>
    <x v="2"/>
    <d v="2024-08-05T00:00:00"/>
    <x v="0"/>
    <n v="10"/>
    <x v="1"/>
    <s v="No"/>
    <s v="-"/>
    <s v="Yes"/>
    <n v="20"/>
    <n v="15"/>
    <n v="15"/>
  </r>
  <r>
    <n v="3393"/>
    <x v="160"/>
    <x v="1"/>
    <d v="2024-08-06T00:00:00"/>
    <x v="1"/>
    <n v="5"/>
    <x v="0"/>
    <s v="No"/>
    <s v="-"/>
    <s v="No"/>
    <n v="0"/>
    <n v="1"/>
    <n v="4"/>
  </r>
  <r>
    <n v="3394"/>
    <x v="161"/>
    <x v="0"/>
    <d v="2024-08-07T00:00:00"/>
    <x v="0"/>
    <n v="15"/>
    <x v="2"/>
    <s v="Yes"/>
    <n v="30"/>
    <s v="Yes"/>
    <n v="20"/>
    <n v="7"/>
    <n v="58"/>
  </r>
  <r>
    <n v="3395"/>
    <x v="162"/>
    <x v="2"/>
    <d v="2024-08-08T00:00:00"/>
    <x v="1"/>
    <n v="10"/>
    <x v="0"/>
    <s v="No"/>
    <s v="-"/>
    <s v="Yes"/>
    <n v="20"/>
    <n v="10"/>
    <n v="20"/>
  </r>
  <r>
    <n v="3396"/>
    <x v="163"/>
    <x v="1"/>
    <d v="2024-08-09T00:00:00"/>
    <x v="0"/>
    <n v="5"/>
    <x v="1"/>
    <s v="No"/>
    <s v="-"/>
    <s v="No"/>
    <n v="0"/>
    <n v="0"/>
    <n v="5"/>
  </r>
  <r>
    <n v="3397"/>
    <x v="90"/>
    <x v="0"/>
    <d v="2024-08-10T00:00:00"/>
    <x v="1"/>
    <n v="15"/>
    <x v="0"/>
    <s v="Yes"/>
    <n v="30"/>
    <s v="Yes"/>
    <n v="20"/>
    <n v="20"/>
    <n v="45"/>
  </r>
  <r>
    <n v="3398"/>
    <x v="164"/>
    <x v="2"/>
    <d v="2024-08-11T00:00:00"/>
    <x v="0"/>
    <n v="10"/>
    <x v="2"/>
    <s v="No"/>
    <s v="-"/>
    <s v="Yes"/>
    <n v="20"/>
    <n v="15"/>
    <n v="15"/>
  </r>
  <r>
    <n v="3399"/>
    <x v="165"/>
    <x v="1"/>
    <d v="2024-08-12T00:00:00"/>
    <x v="1"/>
    <n v="5"/>
    <x v="0"/>
    <s v="No"/>
    <s v="-"/>
    <s v="No"/>
    <n v="0"/>
    <n v="1"/>
    <n v="4"/>
  </r>
  <r>
    <n v="3400"/>
    <x v="166"/>
    <x v="0"/>
    <d v="2024-08-13T00:00:00"/>
    <x v="0"/>
    <n v="15"/>
    <x v="1"/>
    <s v="Yes"/>
    <n v="30"/>
    <s v="Yes"/>
    <n v="20"/>
    <n v="5"/>
    <n v="60"/>
  </r>
  <r>
    <n v="3401"/>
    <x v="167"/>
    <x v="2"/>
    <d v="2024-08-14T00:00:00"/>
    <x v="1"/>
    <n v="10"/>
    <x v="0"/>
    <s v="No"/>
    <s v="-"/>
    <s v="Yes"/>
    <n v="20"/>
    <n v="10"/>
    <n v="20"/>
  </r>
  <r>
    <n v="3402"/>
    <x v="168"/>
    <x v="1"/>
    <d v="2024-08-15T00:00:00"/>
    <x v="0"/>
    <n v="5"/>
    <x v="2"/>
    <s v="No"/>
    <s v="-"/>
    <s v="No"/>
    <n v="0"/>
    <n v="0"/>
    <n v="5"/>
  </r>
  <r>
    <n v="3403"/>
    <x v="169"/>
    <x v="0"/>
    <d v="2024-08-16T00:00:00"/>
    <x v="1"/>
    <n v="15"/>
    <x v="0"/>
    <s v="Yes"/>
    <n v="30"/>
    <s v="Yes"/>
    <n v="20"/>
    <n v="3"/>
    <n v="62"/>
  </r>
  <r>
    <n v="3404"/>
    <x v="170"/>
    <x v="2"/>
    <d v="2024-08-17T00:00:00"/>
    <x v="0"/>
    <n v="10"/>
    <x v="1"/>
    <s v="No"/>
    <s v="-"/>
    <s v="Yes"/>
    <n v="20"/>
    <n v="15"/>
    <n v="15"/>
  </r>
  <r>
    <n v="3405"/>
    <x v="171"/>
    <x v="1"/>
    <d v="2024-08-18T00:00:00"/>
    <x v="1"/>
    <n v="5"/>
    <x v="0"/>
    <s v="No"/>
    <s v="-"/>
    <s v="No"/>
    <n v="0"/>
    <n v="1"/>
    <n v="4"/>
  </r>
  <r>
    <n v="3406"/>
    <x v="172"/>
    <x v="1"/>
    <d v="2024-08-19T00:00:00"/>
    <x v="0"/>
    <n v="5"/>
    <x v="0"/>
    <s v="No"/>
    <s v="-"/>
    <s v="No"/>
    <n v="0"/>
    <n v="0"/>
    <n v="5"/>
  </r>
  <r>
    <n v="3407"/>
    <x v="173"/>
    <x v="0"/>
    <d v="2024-08-20T00:00:00"/>
    <x v="1"/>
    <n v="15"/>
    <x v="2"/>
    <s v="Yes"/>
    <n v="30"/>
    <s v="Yes"/>
    <n v="20"/>
    <n v="7"/>
    <n v="58"/>
  </r>
  <r>
    <n v="3408"/>
    <x v="174"/>
    <x v="2"/>
    <d v="2024-08-21T00:00:00"/>
    <x v="0"/>
    <n v="10"/>
    <x v="1"/>
    <s v="No"/>
    <s v="-"/>
    <s v="Yes"/>
    <n v="20"/>
    <n v="10"/>
    <n v="20"/>
  </r>
  <r>
    <n v="3409"/>
    <x v="175"/>
    <x v="1"/>
    <d v="2024-08-22T00:00:00"/>
    <x v="1"/>
    <n v="5"/>
    <x v="2"/>
    <s v="No"/>
    <s v="-"/>
    <s v="No"/>
    <n v="0"/>
    <n v="1"/>
    <n v="4"/>
  </r>
  <r>
    <n v="3410"/>
    <x v="176"/>
    <x v="0"/>
    <d v="2024-08-23T00:00:00"/>
    <x v="0"/>
    <n v="15"/>
    <x v="0"/>
    <s v="Yes"/>
    <n v="30"/>
    <s v="Yes"/>
    <n v="20"/>
    <n v="15"/>
    <n v="50"/>
  </r>
  <r>
    <n v="3411"/>
    <x v="177"/>
    <x v="2"/>
    <d v="2024-08-24T00:00:00"/>
    <x v="1"/>
    <n v="10"/>
    <x v="0"/>
    <s v="No"/>
    <s v="-"/>
    <s v="Yes"/>
    <n v="20"/>
    <n v="5"/>
    <n v="25"/>
  </r>
  <r>
    <n v="3412"/>
    <x v="178"/>
    <x v="1"/>
    <d v="2024-08-25T00:00:00"/>
    <x v="0"/>
    <n v="5"/>
    <x v="1"/>
    <s v="No"/>
    <s v="-"/>
    <s v="No"/>
    <n v="0"/>
    <n v="0"/>
    <n v="5"/>
  </r>
  <r>
    <n v="3413"/>
    <x v="179"/>
    <x v="0"/>
    <d v="2024-08-26T00:00:00"/>
    <x v="1"/>
    <n v="15"/>
    <x v="2"/>
    <s v="Yes"/>
    <n v="30"/>
    <s v="Yes"/>
    <n v="20"/>
    <n v="20"/>
    <n v="45"/>
  </r>
  <r>
    <n v="3414"/>
    <x v="180"/>
    <x v="2"/>
    <d v="2024-08-27T00:00:00"/>
    <x v="0"/>
    <n v="10"/>
    <x v="2"/>
    <s v="No"/>
    <s v="-"/>
    <s v="Yes"/>
    <n v="20"/>
    <n v="12"/>
    <n v="18"/>
  </r>
  <r>
    <n v="3415"/>
    <x v="181"/>
    <x v="1"/>
    <d v="2024-08-28T00:00:00"/>
    <x v="1"/>
    <n v="5"/>
    <x v="0"/>
    <s v="No"/>
    <s v="-"/>
    <s v="No"/>
    <n v="0"/>
    <n v="2"/>
    <n v="3"/>
  </r>
  <r>
    <n v="3416"/>
    <x v="182"/>
    <x v="0"/>
    <d v="2024-08-29T00:00:00"/>
    <x v="0"/>
    <n v="15"/>
    <x v="1"/>
    <s v="Yes"/>
    <n v="30"/>
    <s v="Yes"/>
    <n v="20"/>
    <n v="5"/>
    <n v="60"/>
  </r>
  <r>
    <n v="3417"/>
    <x v="183"/>
    <x v="2"/>
    <d v="2024-08-30T00:00:00"/>
    <x v="1"/>
    <n v="10"/>
    <x v="0"/>
    <s v="No"/>
    <s v="-"/>
    <s v="Yes"/>
    <n v="20"/>
    <n v="10"/>
    <n v="20"/>
  </r>
  <r>
    <n v="3418"/>
    <x v="184"/>
    <x v="1"/>
    <d v="2024-08-31T00:00:00"/>
    <x v="0"/>
    <n v="5"/>
    <x v="2"/>
    <s v="No"/>
    <s v="-"/>
    <s v="No"/>
    <n v="0"/>
    <n v="0"/>
    <n v="5"/>
  </r>
  <r>
    <n v="3419"/>
    <x v="185"/>
    <x v="0"/>
    <d v="2024-09-01T00:00:00"/>
    <x v="1"/>
    <n v="15"/>
    <x v="0"/>
    <s v="Yes"/>
    <n v="30"/>
    <s v="Yes"/>
    <n v="20"/>
    <n v="3"/>
    <n v="62"/>
  </r>
  <r>
    <n v="3420"/>
    <x v="186"/>
    <x v="2"/>
    <d v="2024-09-02T00:00:00"/>
    <x v="0"/>
    <n v="10"/>
    <x v="1"/>
    <s v="No"/>
    <s v="-"/>
    <s v="Yes"/>
    <n v="20"/>
    <n v="15"/>
    <n v="15"/>
  </r>
  <r>
    <n v="3421"/>
    <x v="15"/>
    <x v="1"/>
    <d v="2024-09-03T00:00:00"/>
    <x v="1"/>
    <n v="5"/>
    <x v="0"/>
    <s v="No"/>
    <s v="-"/>
    <s v="No"/>
    <n v="0"/>
    <n v="1"/>
    <n v="4"/>
  </r>
  <r>
    <n v="3422"/>
    <x v="187"/>
    <x v="0"/>
    <d v="2024-09-04T00:00:00"/>
    <x v="0"/>
    <n v="15"/>
    <x v="2"/>
    <s v="Yes"/>
    <n v="30"/>
    <s v="Yes"/>
    <n v="20"/>
    <n v="7"/>
    <n v="58"/>
  </r>
  <r>
    <n v="3423"/>
    <x v="188"/>
    <x v="2"/>
    <d v="2024-09-05T00:00:00"/>
    <x v="1"/>
    <n v="10"/>
    <x v="0"/>
    <s v="No"/>
    <s v="-"/>
    <s v="Yes"/>
    <n v="20"/>
    <n v="10"/>
    <n v="20"/>
  </r>
  <r>
    <n v="3424"/>
    <x v="14"/>
    <x v="1"/>
    <d v="2024-09-06T00:00:00"/>
    <x v="0"/>
    <n v="5"/>
    <x v="1"/>
    <s v="No"/>
    <s v="-"/>
    <s v="No"/>
    <n v="0"/>
    <n v="0"/>
    <n v="5"/>
  </r>
  <r>
    <n v="3425"/>
    <x v="189"/>
    <x v="0"/>
    <d v="2024-09-07T00:00:00"/>
    <x v="1"/>
    <n v="15"/>
    <x v="0"/>
    <s v="Yes"/>
    <n v="30"/>
    <s v="Yes"/>
    <n v="20"/>
    <n v="20"/>
    <n v="45"/>
  </r>
  <r>
    <n v="3426"/>
    <x v="167"/>
    <x v="2"/>
    <d v="2024-09-08T00:00:00"/>
    <x v="0"/>
    <n v="10"/>
    <x v="2"/>
    <s v="No"/>
    <s v="-"/>
    <s v="Yes"/>
    <n v="20"/>
    <n v="15"/>
    <n v="15"/>
  </r>
  <r>
    <n v="3427"/>
    <x v="190"/>
    <x v="1"/>
    <d v="2024-09-09T00:00:00"/>
    <x v="1"/>
    <n v="5"/>
    <x v="0"/>
    <s v="No"/>
    <s v="-"/>
    <s v="No"/>
    <n v="0"/>
    <n v="1"/>
    <n v="4"/>
  </r>
  <r>
    <n v="3428"/>
    <x v="191"/>
    <x v="0"/>
    <d v="2024-09-10T00:00:00"/>
    <x v="0"/>
    <n v="15"/>
    <x v="1"/>
    <s v="Yes"/>
    <n v="30"/>
    <s v="Yes"/>
    <n v="20"/>
    <n v="3"/>
    <n v="62"/>
  </r>
  <r>
    <n v="3429"/>
    <x v="192"/>
    <x v="2"/>
    <d v="2024-09-11T00:00:00"/>
    <x v="1"/>
    <n v="10"/>
    <x v="0"/>
    <s v="No"/>
    <s v="-"/>
    <s v="Yes"/>
    <n v="20"/>
    <n v="10"/>
    <n v="20"/>
  </r>
  <r>
    <n v="3430"/>
    <x v="193"/>
    <x v="1"/>
    <d v="2024-09-12T00:00:00"/>
    <x v="0"/>
    <n v="5"/>
    <x v="2"/>
    <s v="No"/>
    <s v="-"/>
    <s v="No"/>
    <n v="0"/>
    <n v="0"/>
    <n v="5"/>
  </r>
  <r>
    <n v="3431"/>
    <x v="194"/>
    <x v="0"/>
    <d v="2024-09-13T00:00:00"/>
    <x v="1"/>
    <n v="15"/>
    <x v="0"/>
    <s v="Yes"/>
    <n v="30"/>
    <s v="Yes"/>
    <n v="20"/>
    <n v="15"/>
    <n v="50"/>
  </r>
  <r>
    <n v="3432"/>
    <x v="195"/>
    <x v="2"/>
    <d v="2024-09-14T00:00:00"/>
    <x v="0"/>
    <n v="10"/>
    <x v="1"/>
    <s v="No"/>
    <s v="-"/>
    <s v="Yes"/>
    <n v="20"/>
    <n v="15"/>
    <n v="15"/>
  </r>
  <r>
    <n v="3433"/>
    <x v="196"/>
    <x v="1"/>
    <d v="2024-09-15T00:00:00"/>
    <x v="1"/>
    <n v="5"/>
    <x v="0"/>
    <s v="No"/>
    <s v="-"/>
    <s v="No"/>
    <n v="0"/>
    <n v="1"/>
    <n v="4"/>
  </r>
  <r>
    <n v="3434"/>
    <x v="197"/>
    <x v="0"/>
    <d v="2024-09-16T00:00:00"/>
    <x v="0"/>
    <n v="15"/>
    <x v="2"/>
    <s v="Yes"/>
    <n v="30"/>
    <s v="Yes"/>
    <n v="20"/>
    <n v="7"/>
    <n v="58"/>
  </r>
  <r>
    <n v="3435"/>
    <x v="198"/>
    <x v="2"/>
    <d v="2024-09-17T00:00:00"/>
    <x v="1"/>
    <n v="10"/>
    <x v="0"/>
    <s v="No"/>
    <s v="-"/>
    <s v="Yes"/>
    <n v="20"/>
    <n v="10"/>
    <n v="20"/>
  </r>
  <r>
    <n v="3436"/>
    <x v="199"/>
    <x v="1"/>
    <d v="2024-09-18T00:00:00"/>
    <x v="0"/>
    <n v="5"/>
    <x v="0"/>
    <s v="No"/>
    <s v="-"/>
    <s v="No"/>
    <n v="0"/>
    <n v="0"/>
    <n v="5"/>
  </r>
  <r>
    <n v="3437"/>
    <x v="200"/>
    <x v="0"/>
    <d v="2024-09-19T00:00:00"/>
    <x v="1"/>
    <n v="15"/>
    <x v="2"/>
    <s v="Yes"/>
    <n v="30"/>
    <s v="Yes"/>
    <n v="20"/>
    <n v="7"/>
    <n v="58"/>
  </r>
  <r>
    <n v="3438"/>
    <x v="201"/>
    <x v="2"/>
    <d v="2024-09-20T00:00:00"/>
    <x v="0"/>
    <n v="10"/>
    <x v="1"/>
    <s v="No"/>
    <s v="-"/>
    <s v="Yes"/>
    <n v="20"/>
    <n v="10"/>
    <n v="20"/>
  </r>
  <r>
    <n v="3439"/>
    <x v="202"/>
    <x v="1"/>
    <d v="2024-09-21T00:00:00"/>
    <x v="1"/>
    <n v="5"/>
    <x v="2"/>
    <s v="No"/>
    <s v="-"/>
    <s v="No"/>
    <n v="0"/>
    <n v="1"/>
    <n v="4"/>
  </r>
  <r>
    <n v="3440"/>
    <x v="203"/>
    <x v="0"/>
    <d v="2024-09-22T00:00:00"/>
    <x v="0"/>
    <n v="15"/>
    <x v="0"/>
    <s v="Yes"/>
    <n v="30"/>
    <s v="Yes"/>
    <n v="20"/>
    <n v="15"/>
    <n v="50"/>
  </r>
  <r>
    <n v="3441"/>
    <x v="204"/>
    <x v="2"/>
    <d v="2024-09-23T00:00:00"/>
    <x v="1"/>
    <n v="10"/>
    <x v="0"/>
    <s v="No"/>
    <s v="-"/>
    <s v="Yes"/>
    <n v="20"/>
    <n v="5"/>
    <n v="25"/>
  </r>
  <r>
    <n v="3442"/>
    <x v="205"/>
    <x v="1"/>
    <d v="2024-09-24T00:00:00"/>
    <x v="0"/>
    <n v="5"/>
    <x v="1"/>
    <s v="No"/>
    <s v="-"/>
    <s v="No"/>
    <n v="0"/>
    <n v="0"/>
    <n v="5"/>
  </r>
  <r>
    <n v="3443"/>
    <x v="206"/>
    <x v="0"/>
    <d v="2024-09-25T00:00:00"/>
    <x v="1"/>
    <n v="15"/>
    <x v="2"/>
    <s v="Yes"/>
    <n v="30"/>
    <s v="Yes"/>
    <n v="20"/>
    <n v="20"/>
    <n v="45"/>
  </r>
  <r>
    <n v="3444"/>
    <x v="207"/>
    <x v="2"/>
    <d v="2024-09-26T00:00:00"/>
    <x v="0"/>
    <n v="10"/>
    <x v="2"/>
    <s v="No"/>
    <s v="-"/>
    <s v="Yes"/>
    <n v="20"/>
    <n v="12"/>
    <n v="18"/>
  </r>
  <r>
    <n v="3445"/>
    <x v="37"/>
    <x v="1"/>
    <d v="2024-09-27T00:00:00"/>
    <x v="1"/>
    <n v="5"/>
    <x v="0"/>
    <s v="No"/>
    <s v="-"/>
    <s v="No"/>
    <n v="0"/>
    <n v="2"/>
    <n v="3"/>
  </r>
  <r>
    <n v="3446"/>
    <x v="208"/>
    <x v="0"/>
    <d v="2024-09-28T00:00:00"/>
    <x v="0"/>
    <n v="15"/>
    <x v="1"/>
    <s v="Yes"/>
    <n v="30"/>
    <s v="Yes"/>
    <n v="20"/>
    <n v="5"/>
    <n v="60"/>
  </r>
  <r>
    <n v="3447"/>
    <x v="209"/>
    <x v="2"/>
    <d v="2024-09-29T00:00:00"/>
    <x v="1"/>
    <n v="10"/>
    <x v="0"/>
    <s v="No"/>
    <s v="-"/>
    <s v="Yes"/>
    <n v="20"/>
    <n v="10"/>
    <n v="20"/>
  </r>
  <r>
    <n v="3448"/>
    <x v="210"/>
    <x v="1"/>
    <d v="2024-09-30T00:00:00"/>
    <x v="0"/>
    <n v="5"/>
    <x v="2"/>
    <s v="No"/>
    <s v="-"/>
    <s v="No"/>
    <n v="0"/>
    <n v="0"/>
    <n v="5"/>
  </r>
  <r>
    <n v="3449"/>
    <x v="211"/>
    <x v="0"/>
    <d v="2024-10-01T00:00:00"/>
    <x v="1"/>
    <n v="15"/>
    <x v="0"/>
    <s v="Yes"/>
    <n v="30"/>
    <s v="Yes"/>
    <n v="20"/>
    <n v="3"/>
    <n v="62"/>
  </r>
  <r>
    <n v="3450"/>
    <x v="212"/>
    <x v="2"/>
    <d v="2024-10-02T00:00:00"/>
    <x v="0"/>
    <n v="10"/>
    <x v="1"/>
    <s v="No"/>
    <s v="-"/>
    <s v="Yes"/>
    <n v="20"/>
    <n v="15"/>
    <n v="15"/>
  </r>
  <r>
    <n v="3451"/>
    <x v="213"/>
    <x v="1"/>
    <d v="2024-10-03T00:00:00"/>
    <x v="1"/>
    <n v="5"/>
    <x v="0"/>
    <s v="No"/>
    <s v="-"/>
    <s v="No"/>
    <n v="0"/>
    <n v="1"/>
    <n v="4"/>
  </r>
  <r>
    <n v="3452"/>
    <x v="191"/>
    <x v="0"/>
    <d v="2024-10-04T00:00:00"/>
    <x v="0"/>
    <n v="15"/>
    <x v="2"/>
    <s v="Yes"/>
    <n v="30"/>
    <s v="Yes"/>
    <n v="20"/>
    <n v="7"/>
    <n v="58"/>
  </r>
  <r>
    <n v="3453"/>
    <x v="45"/>
    <x v="2"/>
    <d v="2024-10-05T00:00:00"/>
    <x v="1"/>
    <n v="10"/>
    <x v="0"/>
    <s v="No"/>
    <s v="-"/>
    <s v="Yes"/>
    <n v="20"/>
    <n v="10"/>
    <n v="20"/>
  </r>
  <r>
    <n v="3454"/>
    <x v="214"/>
    <x v="1"/>
    <d v="2024-10-06T00:00:00"/>
    <x v="0"/>
    <n v="5"/>
    <x v="1"/>
    <s v="No"/>
    <s v="-"/>
    <s v="No"/>
    <n v="0"/>
    <n v="0"/>
    <n v="5"/>
  </r>
  <r>
    <n v="3455"/>
    <x v="215"/>
    <x v="0"/>
    <d v="2024-10-07T00:00:00"/>
    <x v="1"/>
    <n v="15"/>
    <x v="0"/>
    <s v="Yes"/>
    <n v="30"/>
    <s v="Yes"/>
    <n v="20"/>
    <n v="20"/>
    <n v="45"/>
  </r>
  <r>
    <n v="3456"/>
    <x v="216"/>
    <x v="2"/>
    <d v="2024-10-08T00:00:00"/>
    <x v="0"/>
    <n v="10"/>
    <x v="2"/>
    <s v="No"/>
    <s v="-"/>
    <s v="Yes"/>
    <n v="20"/>
    <n v="15"/>
    <n v="15"/>
  </r>
  <r>
    <n v="3457"/>
    <x v="217"/>
    <x v="1"/>
    <d v="2024-10-09T00:00:00"/>
    <x v="1"/>
    <n v="5"/>
    <x v="0"/>
    <s v="No"/>
    <s v="-"/>
    <s v="No"/>
    <n v="0"/>
    <n v="1"/>
    <n v="4"/>
  </r>
  <r>
    <n v="3458"/>
    <x v="218"/>
    <x v="0"/>
    <d v="2024-10-10T00:00:00"/>
    <x v="0"/>
    <n v="15"/>
    <x v="1"/>
    <s v="Yes"/>
    <n v="30"/>
    <s v="Yes"/>
    <n v="20"/>
    <n v="3"/>
    <n v="62"/>
  </r>
  <r>
    <n v="3459"/>
    <x v="219"/>
    <x v="2"/>
    <d v="2024-10-11T00:00:00"/>
    <x v="1"/>
    <n v="10"/>
    <x v="0"/>
    <s v="No"/>
    <s v="-"/>
    <s v="Yes"/>
    <n v="20"/>
    <n v="10"/>
    <n v="20"/>
  </r>
  <r>
    <n v="3460"/>
    <x v="127"/>
    <x v="1"/>
    <d v="2024-10-12T00:00:00"/>
    <x v="0"/>
    <n v="5"/>
    <x v="2"/>
    <s v="No"/>
    <s v="-"/>
    <s v="No"/>
    <n v="0"/>
    <n v="0"/>
    <n v="5"/>
  </r>
  <r>
    <n v="3461"/>
    <x v="220"/>
    <x v="0"/>
    <d v="2024-10-13T00:00:00"/>
    <x v="1"/>
    <n v="15"/>
    <x v="0"/>
    <s v="Yes"/>
    <n v="30"/>
    <s v="Yes"/>
    <n v="20"/>
    <n v="15"/>
    <n v="50"/>
  </r>
  <r>
    <n v="3462"/>
    <x v="221"/>
    <x v="2"/>
    <d v="2024-10-14T00:00:00"/>
    <x v="0"/>
    <n v="10"/>
    <x v="1"/>
    <s v="No"/>
    <s v="-"/>
    <s v="Yes"/>
    <n v="20"/>
    <n v="15"/>
    <n v="15"/>
  </r>
  <r>
    <n v="3463"/>
    <x v="222"/>
    <x v="1"/>
    <d v="2024-10-15T00:00:00"/>
    <x v="1"/>
    <n v="5"/>
    <x v="0"/>
    <s v="No"/>
    <s v="-"/>
    <s v="No"/>
    <n v="0"/>
    <n v="1"/>
    <n v="4"/>
  </r>
  <r>
    <n v="3464"/>
    <x v="223"/>
    <x v="0"/>
    <d v="2024-10-16T00:00:00"/>
    <x v="0"/>
    <n v="15"/>
    <x v="2"/>
    <s v="Yes"/>
    <n v="30"/>
    <s v="Yes"/>
    <n v="20"/>
    <n v="7"/>
    <n v="58"/>
  </r>
  <r>
    <n v="3465"/>
    <x v="224"/>
    <x v="2"/>
    <d v="2024-10-17T00:00:00"/>
    <x v="1"/>
    <n v="10"/>
    <x v="0"/>
    <s v="No"/>
    <s v="-"/>
    <s v="Yes"/>
    <n v="20"/>
    <n v="10"/>
    <n v="20"/>
  </r>
  <r>
    <n v="3466"/>
    <x v="225"/>
    <x v="1"/>
    <d v="2024-10-18T00:00:00"/>
    <x v="0"/>
    <n v="5"/>
    <x v="1"/>
    <s v="No"/>
    <s v="-"/>
    <s v="No"/>
    <n v="0"/>
    <n v="0"/>
    <n v="5"/>
  </r>
  <r>
    <n v="3467"/>
    <x v="226"/>
    <x v="0"/>
    <d v="2024-10-19T00:00:00"/>
    <x v="1"/>
    <n v="15"/>
    <x v="0"/>
    <s v="Yes"/>
    <n v="30"/>
    <s v="Yes"/>
    <n v="20"/>
    <n v="15"/>
    <n v="50"/>
  </r>
  <r>
    <n v="3468"/>
    <x v="227"/>
    <x v="2"/>
    <d v="2024-10-20T00:00:00"/>
    <x v="0"/>
    <n v="10"/>
    <x v="2"/>
    <s v="No"/>
    <s v="-"/>
    <s v="Yes"/>
    <n v="20"/>
    <n v="12"/>
    <n v="18"/>
  </r>
  <r>
    <n v="3469"/>
    <x v="228"/>
    <x v="1"/>
    <d v="2024-10-21T00:00:00"/>
    <x v="1"/>
    <n v="5"/>
    <x v="0"/>
    <s v="No"/>
    <s v="-"/>
    <s v="No"/>
    <n v="0"/>
    <n v="2"/>
    <n v="3"/>
  </r>
  <r>
    <n v="3470"/>
    <x v="229"/>
    <x v="0"/>
    <d v="2024-10-22T00:00:00"/>
    <x v="0"/>
    <n v="15"/>
    <x v="1"/>
    <s v="Yes"/>
    <n v="30"/>
    <s v="Yes"/>
    <n v="20"/>
    <n v="5"/>
    <n v="60"/>
  </r>
  <r>
    <n v="3471"/>
    <x v="230"/>
    <x v="2"/>
    <d v="2024-10-23T00:00:00"/>
    <x v="1"/>
    <n v="10"/>
    <x v="0"/>
    <s v="No"/>
    <s v="-"/>
    <s v="Yes"/>
    <n v="20"/>
    <n v="10"/>
    <n v="20"/>
  </r>
  <r>
    <n v="3472"/>
    <x v="231"/>
    <x v="1"/>
    <d v="2024-10-24T00:00:00"/>
    <x v="0"/>
    <n v="5"/>
    <x v="2"/>
    <s v="No"/>
    <s v="-"/>
    <s v="No"/>
    <n v="0"/>
    <n v="0"/>
    <n v="5"/>
  </r>
  <r>
    <n v="3473"/>
    <x v="140"/>
    <x v="0"/>
    <d v="2024-10-25T00:00:00"/>
    <x v="1"/>
    <n v="15"/>
    <x v="0"/>
    <s v="Yes"/>
    <n v="30"/>
    <s v="Yes"/>
    <n v="20"/>
    <n v="3"/>
    <n v="62"/>
  </r>
  <r>
    <n v="3474"/>
    <x v="232"/>
    <x v="2"/>
    <d v="2024-10-26T00:00:00"/>
    <x v="0"/>
    <n v="10"/>
    <x v="1"/>
    <s v="No"/>
    <s v="-"/>
    <s v="Yes"/>
    <n v="20"/>
    <n v="15"/>
    <n v="15"/>
  </r>
  <r>
    <n v="3475"/>
    <x v="233"/>
    <x v="1"/>
    <d v="2024-10-27T00:00:00"/>
    <x v="1"/>
    <n v="5"/>
    <x v="0"/>
    <s v="No"/>
    <s v="-"/>
    <s v="No"/>
    <n v="0"/>
    <n v="1"/>
    <n v="4"/>
  </r>
  <r>
    <n v="3476"/>
    <x v="234"/>
    <x v="0"/>
    <d v="2024-10-28T00:00:00"/>
    <x v="0"/>
    <n v="15"/>
    <x v="2"/>
    <s v="Yes"/>
    <n v="30"/>
    <s v="Yes"/>
    <n v="20"/>
    <n v="7"/>
    <n v="58"/>
  </r>
  <r>
    <n v="3477"/>
    <x v="235"/>
    <x v="2"/>
    <d v="2024-10-29T00:00:00"/>
    <x v="1"/>
    <n v="10"/>
    <x v="0"/>
    <s v="No"/>
    <s v="-"/>
    <s v="Yes"/>
    <n v="20"/>
    <n v="10"/>
    <n v="20"/>
  </r>
  <r>
    <n v="3478"/>
    <x v="236"/>
    <x v="1"/>
    <d v="2024-10-30T00:00:00"/>
    <x v="0"/>
    <n v="5"/>
    <x v="1"/>
    <s v="No"/>
    <s v="-"/>
    <s v="No"/>
    <n v="0"/>
    <n v="0"/>
    <n v="5"/>
  </r>
  <r>
    <n v="3479"/>
    <x v="237"/>
    <x v="0"/>
    <d v="2024-10-31T00:00:00"/>
    <x v="1"/>
    <n v="15"/>
    <x v="0"/>
    <s v="Yes"/>
    <n v="30"/>
    <s v="Yes"/>
    <n v="20"/>
    <n v="20"/>
    <n v="45"/>
  </r>
  <r>
    <n v="3480"/>
    <x v="238"/>
    <x v="2"/>
    <d v="2024-11-01T00:00:00"/>
    <x v="0"/>
    <n v="10"/>
    <x v="2"/>
    <s v="No"/>
    <s v="-"/>
    <s v="Yes"/>
    <n v="20"/>
    <n v="15"/>
    <n v="15"/>
  </r>
  <r>
    <n v="3481"/>
    <x v="239"/>
    <x v="1"/>
    <d v="2024-11-02T00:00:00"/>
    <x v="1"/>
    <n v="5"/>
    <x v="0"/>
    <s v="No"/>
    <s v="-"/>
    <s v="No"/>
    <n v="0"/>
    <n v="1"/>
    <n v="4"/>
  </r>
  <r>
    <n v="3482"/>
    <x v="240"/>
    <x v="0"/>
    <d v="2024-11-03T00:00:00"/>
    <x v="0"/>
    <n v="15"/>
    <x v="1"/>
    <s v="Yes"/>
    <n v="30"/>
    <s v="Yes"/>
    <n v="20"/>
    <n v="3"/>
    <n v="62"/>
  </r>
  <r>
    <n v="3483"/>
    <x v="241"/>
    <x v="2"/>
    <d v="2024-11-04T00:00:00"/>
    <x v="1"/>
    <n v="10"/>
    <x v="0"/>
    <s v="No"/>
    <s v="-"/>
    <s v="Yes"/>
    <n v="20"/>
    <n v="10"/>
    <n v="20"/>
  </r>
  <r>
    <n v="3484"/>
    <x v="242"/>
    <x v="1"/>
    <d v="2024-11-05T00:00:00"/>
    <x v="0"/>
    <n v="5"/>
    <x v="2"/>
    <s v="No"/>
    <s v="-"/>
    <s v="No"/>
    <n v="0"/>
    <n v="0"/>
    <n v="5"/>
  </r>
  <r>
    <n v="3485"/>
    <x v="243"/>
    <x v="0"/>
    <d v="2024-11-06T00:00:00"/>
    <x v="1"/>
    <n v="15"/>
    <x v="0"/>
    <s v="Yes"/>
    <n v="30"/>
    <s v="Yes"/>
    <n v="20"/>
    <n v="15"/>
    <n v="50"/>
  </r>
  <r>
    <n v="3486"/>
    <x v="244"/>
    <x v="1"/>
    <d v="2024-11-07T00:00:00"/>
    <x v="0"/>
    <n v="5"/>
    <x v="0"/>
    <s v="No"/>
    <s v="-"/>
    <s v="No"/>
    <n v="0"/>
    <n v="0"/>
    <n v="5"/>
  </r>
  <r>
    <n v="3487"/>
    <x v="245"/>
    <x v="0"/>
    <d v="2024-11-08T00:00:00"/>
    <x v="1"/>
    <n v="15"/>
    <x v="2"/>
    <s v="Yes"/>
    <n v="30"/>
    <s v="Yes"/>
    <n v="20"/>
    <n v="7"/>
    <n v="58"/>
  </r>
  <r>
    <n v="3488"/>
    <x v="246"/>
    <x v="2"/>
    <d v="2024-11-09T00:00:00"/>
    <x v="0"/>
    <n v="10"/>
    <x v="1"/>
    <s v="No"/>
    <s v="-"/>
    <s v="Yes"/>
    <n v="20"/>
    <n v="10"/>
    <n v="20"/>
  </r>
  <r>
    <n v="3489"/>
    <x v="247"/>
    <x v="1"/>
    <d v="2024-11-10T00:00:00"/>
    <x v="1"/>
    <n v="5"/>
    <x v="2"/>
    <s v="No"/>
    <s v="-"/>
    <s v="No"/>
    <n v="0"/>
    <n v="1"/>
    <n v="4"/>
  </r>
  <r>
    <n v="3490"/>
    <x v="248"/>
    <x v="0"/>
    <d v="2024-11-11T00:00:00"/>
    <x v="0"/>
    <n v="15"/>
    <x v="0"/>
    <s v="Yes"/>
    <n v="30"/>
    <s v="Yes"/>
    <n v="20"/>
    <n v="15"/>
    <n v="50"/>
  </r>
  <r>
    <n v="3491"/>
    <x v="249"/>
    <x v="2"/>
    <d v="2024-11-12T00:00:00"/>
    <x v="1"/>
    <n v="10"/>
    <x v="0"/>
    <s v="No"/>
    <s v="-"/>
    <s v="Yes"/>
    <n v="20"/>
    <n v="5"/>
    <n v="25"/>
  </r>
  <r>
    <n v="3492"/>
    <x v="250"/>
    <x v="1"/>
    <d v="2024-11-13T00:00:00"/>
    <x v="0"/>
    <n v="5"/>
    <x v="1"/>
    <s v="No"/>
    <s v="-"/>
    <s v="No"/>
    <n v="0"/>
    <n v="0"/>
    <n v="5"/>
  </r>
  <r>
    <n v="3493"/>
    <x v="251"/>
    <x v="0"/>
    <d v="2024-11-14T00:00:00"/>
    <x v="1"/>
    <n v="15"/>
    <x v="2"/>
    <s v="Yes"/>
    <n v="30"/>
    <s v="Yes"/>
    <n v="20"/>
    <n v="20"/>
    <n v="45"/>
  </r>
  <r>
    <n v="3494"/>
    <x v="252"/>
    <x v="2"/>
    <d v="2024-11-15T00:00:00"/>
    <x v="0"/>
    <n v="10"/>
    <x v="2"/>
    <s v="No"/>
    <s v="-"/>
    <s v="Yes"/>
    <n v="20"/>
    <n v="12"/>
    <n v="18"/>
  </r>
  <r>
    <n v="3495"/>
    <x v="253"/>
    <x v="1"/>
    <d v="2024-11-16T00:00:00"/>
    <x v="1"/>
    <n v="5"/>
    <x v="0"/>
    <s v="No"/>
    <s v="-"/>
    <s v="No"/>
    <n v="0"/>
    <n v="2"/>
    <n v="3"/>
  </r>
  <r>
    <n v="3496"/>
    <x v="254"/>
    <x v="0"/>
    <d v="2024-11-17T00:00:00"/>
    <x v="0"/>
    <n v="15"/>
    <x v="1"/>
    <s v="Yes"/>
    <n v="30"/>
    <s v="Yes"/>
    <n v="20"/>
    <n v="5"/>
    <n v="60"/>
  </r>
  <r>
    <n v="3497"/>
    <x v="255"/>
    <x v="2"/>
    <d v="2024-11-18T00:00:00"/>
    <x v="1"/>
    <n v="10"/>
    <x v="0"/>
    <s v="No"/>
    <s v="-"/>
    <s v="Yes"/>
    <n v="20"/>
    <n v="10"/>
    <n v="20"/>
  </r>
  <r>
    <n v="3498"/>
    <x v="256"/>
    <x v="1"/>
    <d v="2024-11-19T00:00:00"/>
    <x v="0"/>
    <n v="5"/>
    <x v="2"/>
    <s v="No"/>
    <s v="-"/>
    <s v="No"/>
    <n v="0"/>
    <n v="0"/>
    <n v="5"/>
  </r>
  <r>
    <n v="3499"/>
    <x v="257"/>
    <x v="0"/>
    <d v="2024-11-20T00:00:00"/>
    <x v="1"/>
    <n v="15"/>
    <x v="0"/>
    <s v="Yes"/>
    <n v="30"/>
    <s v="Yes"/>
    <n v="20"/>
    <n v="3"/>
    <n v="62"/>
  </r>
  <r>
    <n v="3500"/>
    <x v="258"/>
    <x v="2"/>
    <d v="2024-11-21T00:00:00"/>
    <x v="0"/>
    <n v="10"/>
    <x v="1"/>
    <s v="No"/>
    <s v="-"/>
    <s v="Yes"/>
    <n v="20"/>
    <n v="15"/>
    <n v="15"/>
  </r>
  <r>
    <n v="3501"/>
    <x v="259"/>
    <x v="1"/>
    <d v="2024-11-22T00:00:00"/>
    <x v="1"/>
    <n v="5"/>
    <x v="0"/>
    <s v="No"/>
    <s v="-"/>
    <s v="No"/>
    <n v="0"/>
    <n v="1"/>
    <n v="4"/>
  </r>
  <r>
    <n v="3502"/>
    <x v="260"/>
    <x v="0"/>
    <d v="2024-11-23T00:00:00"/>
    <x v="0"/>
    <n v="15"/>
    <x v="2"/>
    <s v="Yes"/>
    <n v="30"/>
    <s v="Yes"/>
    <n v="20"/>
    <n v="7"/>
    <n v="58"/>
  </r>
  <r>
    <n v="3503"/>
    <x v="119"/>
    <x v="2"/>
    <d v="2024-11-24T00:00:00"/>
    <x v="1"/>
    <n v="10"/>
    <x v="0"/>
    <s v="No"/>
    <s v="-"/>
    <s v="Yes"/>
    <n v="20"/>
    <n v="10"/>
    <n v="20"/>
  </r>
  <r>
    <n v="3504"/>
    <x v="261"/>
    <x v="1"/>
    <d v="2024-11-25T00:00:00"/>
    <x v="0"/>
    <n v="5"/>
    <x v="1"/>
    <s v="No"/>
    <s v="-"/>
    <s v="No"/>
    <n v="0"/>
    <n v="0"/>
    <n v="5"/>
  </r>
  <r>
    <n v="3505"/>
    <x v="262"/>
    <x v="0"/>
    <d v="2024-11-26T00:00:00"/>
    <x v="1"/>
    <n v="15"/>
    <x v="0"/>
    <s v="Yes"/>
    <n v="30"/>
    <s v="Yes"/>
    <n v="20"/>
    <n v="20"/>
    <n v="45"/>
  </r>
  <r>
    <n v="3506"/>
    <x v="263"/>
    <x v="2"/>
    <d v="2024-11-27T00:00:00"/>
    <x v="0"/>
    <n v="10"/>
    <x v="2"/>
    <s v="No"/>
    <s v="-"/>
    <s v="Yes"/>
    <n v="20"/>
    <n v="15"/>
    <n v="15"/>
  </r>
  <r>
    <n v="3507"/>
    <x v="264"/>
    <x v="1"/>
    <d v="2024-11-28T00:00:00"/>
    <x v="1"/>
    <n v="5"/>
    <x v="0"/>
    <s v="No"/>
    <s v="-"/>
    <s v="No"/>
    <n v="0"/>
    <n v="1"/>
    <n v="4"/>
  </r>
  <r>
    <n v="3508"/>
    <x v="265"/>
    <x v="0"/>
    <d v="2024-11-29T00:00:00"/>
    <x v="0"/>
    <n v="15"/>
    <x v="1"/>
    <s v="Yes"/>
    <n v="30"/>
    <s v="Yes"/>
    <n v="20"/>
    <n v="3"/>
    <n v="62"/>
  </r>
  <r>
    <n v="3509"/>
    <x v="266"/>
    <x v="2"/>
    <d v="2024-11-30T00:00:00"/>
    <x v="1"/>
    <n v="10"/>
    <x v="0"/>
    <s v="No"/>
    <s v="-"/>
    <s v="Yes"/>
    <n v="20"/>
    <n v="10"/>
    <n v="20"/>
  </r>
  <r>
    <n v="3510"/>
    <x v="267"/>
    <x v="1"/>
    <d v="2024-12-01T00:00:00"/>
    <x v="0"/>
    <n v="5"/>
    <x v="2"/>
    <s v="No"/>
    <s v="-"/>
    <s v="No"/>
    <n v="0"/>
    <n v="0"/>
    <n v="5"/>
  </r>
  <r>
    <n v="3511"/>
    <x v="268"/>
    <x v="0"/>
    <d v="2024-12-02T00:00:00"/>
    <x v="1"/>
    <n v="15"/>
    <x v="0"/>
    <s v="Yes"/>
    <n v="30"/>
    <s v="Yes"/>
    <n v="20"/>
    <n v="15"/>
    <n v="50"/>
  </r>
  <r>
    <n v="3512"/>
    <x v="269"/>
    <x v="2"/>
    <d v="2024-12-03T00:00:00"/>
    <x v="0"/>
    <n v="10"/>
    <x v="1"/>
    <s v="No"/>
    <s v="-"/>
    <s v="Yes"/>
    <n v="20"/>
    <n v="15"/>
    <n v="15"/>
  </r>
  <r>
    <n v="3513"/>
    <x v="270"/>
    <x v="1"/>
    <d v="2024-12-04T00:00:00"/>
    <x v="1"/>
    <n v="5"/>
    <x v="0"/>
    <s v="No"/>
    <s v="-"/>
    <s v="No"/>
    <n v="0"/>
    <n v="1"/>
    <n v="4"/>
  </r>
  <r>
    <n v="3514"/>
    <x v="271"/>
    <x v="0"/>
    <d v="2024-12-05T00:00:00"/>
    <x v="0"/>
    <n v="15"/>
    <x v="2"/>
    <s v="Yes"/>
    <n v="30"/>
    <s v="Yes"/>
    <n v="20"/>
    <n v="7"/>
    <n v="58"/>
  </r>
  <r>
    <n v="3515"/>
    <x v="130"/>
    <x v="2"/>
    <d v="2024-12-06T00:00:00"/>
    <x v="1"/>
    <n v="10"/>
    <x v="0"/>
    <s v="No"/>
    <s v="-"/>
    <s v="Yes"/>
    <n v="20"/>
    <n v="10"/>
    <n v="20"/>
  </r>
  <r>
    <n v="3516"/>
    <x v="131"/>
    <x v="1"/>
    <d v="2024-12-07T00:00:00"/>
    <x v="0"/>
    <n v="5"/>
    <x v="1"/>
    <s v="No"/>
    <s v="-"/>
    <s v="No"/>
    <n v="0"/>
    <n v="0"/>
    <n v="5"/>
  </r>
  <r>
    <n v="3517"/>
    <x v="181"/>
    <x v="0"/>
    <d v="2024-12-08T00:00:00"/>
    <x v="1"/>
    <n v="15"/>
    <x v="0"/>
    <s v="Yes"/>
    <n v="30"/>
    <s v="Yes"/>
    <n v="20"/>
    <n v="20"/>
    <n v="45"/>
  </r>
  <r>
    <n v="3518"/>
    <x v="272"/>
    <x v="2"/>
    <d v="2024-12-09T00:00:00"/>
    <x v="0"/>
    <n v="10"/>
    <x v="2"/>
    <s v="No"/>
    <s v="-"/>
    <s v="Yes"/>
    <n v="20"/>
    <n v="12"/>
    <n v="18"/>
  </r>
  <r>
    <n v="3519"/>
    <x v="273"/>
    <x v="1"/>
    <d v="2024-12-10T00:00:00"/>
    <x v="1"/>
    <n v="5"/>
    <x v="0"/>
    <s v="No"/>
    <s v="-"/>
    <s v="No"/>
    <n v="0"/>
    <n v="2"/>
    <n v="3"/>
  </r>
  <r>
    <n v="3520"/>
    <x v="274"/>
    <x v="0"/>
    <d v="2024-12-11T00:00:00"/>
    <x v="0"/>
    <n v="15"/>
    <x v="1"/>
    <s v="Yes"/>
    <n v="30"/>
    <s v="Yes"/>
    <n v="20"/>
    <n v="5"/>
    <n v="60"/>
  </r>
  <r>
    <n v="3521"/>
    <x v="275"/>
    <x v="2"/>
    <d v="2024-12-12T00:00:00"/>
    <x v="1"/>
    <n v="10"/>
    <x v="0"/>
    <s v="No"/>
    <s v="-"/>
    <s v="Yes"/>
    <n v="20"/>
    <n v="10"/>
    <n v="20"/>
  </r>
  <r>
    <n v="3522"/>
    <x v="276"/>
    <x v="1"/>
    <d v="2024-12-13T00:00:00"/>
    <x v="0"/>
    <n v="5"/>
    <x v="2"/>
    <s v="No"/>
    <s v="-"/>
    <s v="No"/>
    <n v="0"/>
    <n v="0"/>
    <n v="5"/>
  </r>
  <r>
    <n v="3523"/>
    <x v="277"/>
    <x v="0"/>
    <d v="2024-12-14T00:00:00"/>
    <x v="1"/>
    <n v="15"/>
    <x v="0"/>
    <s v="Yes"/>
    <n v="30"/>
    <s v="Yes"/>
    <n v="20"/>
    <n v="3"/>
    <n v="62"/>
  </r>
  <r>
    <n v="3524"/>
    <x v="278"/>
    <x v="2"/>
    <d v="2024-12-15T00:00:00"/>
    <x v="0"/>
    <n v="10"/>
    <x v="1"/>
    <s v="No"/>
    <s v="-"/>
    <s v="Yes"/>
    <n v="20"/>
    <n v="15"/>
    <n v="15"/>
  </r>
  <r>
    <n v="3525"/>
    <x v="279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BCC862-3412-464F-BAF0-C03030EE24CB}" name="Tabela dinâmica5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31:C3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2">
    <format dxfId="24">
      <pivotArea collapsedLevelsAreSubtotals="1" fieldPosition="0">
        <references count="1">
          <reference field="2" count="1">
            <x v="2"/>
          </reference>
        </references>
      </pivotArea>
    </format>
    <format dxfId="25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3A7491-EB5B-4DE1-87EB-97F1DFCB5FDE}" name="Tabela dinâmica4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9:C2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4" baseItem="0"/>
  </dataFields>
  <formats count="2">
    <format dxfId="26">
      <pivotArea collapsedLevelsAreSubtotals="1" fieldPosition="0">
        <references count="1">
          <reference field="2" count="1">
            <x v="2"/>
          </reference>
        </references>
      </pivotArea>
    </format>
    <format dxfId="27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1BD61-B8CF-432C-B6AE-D4ACE0489167}" name="Tabela dinâ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5C8A660B-75C5-4373-B9E1-D59BDF126162}" sourceName="Subscription Type">
  <pivotTables>
    <pivotTable tabId="3" name="Tabela dinâmica1"/>
    <pivotTable tabId="3" name="Tabela dinâmica4"/>
    <pivotTable tabId="3" name="Tabela dinâmica5"/>
  </pivotTables>
  <data>
    <tabular pivotCacheId="1198586656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0937E2F-C4FF-4B29-8CD8-25393ECC434C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43">
  <autoFilter ref="A1:M296" xr:uid="{34E0E886-4200-4B36-97B3-63DB74FF40A0}"/>
  <tableColumns count="13">
    <tableColumn id="1" xr3:uid="{C4A90516-688A-46BF-9167-EA16C2A8A652}" name="Subscriber ID" dataDxfId="42"/>
    <tableColumn id="2" xr3:uid="{53DD39D0-2220-4121-9E9D-4EAA7E151C0F}" name="Name" dataDxfId="41"/>
    <tableColumn id="3" xr3:uid="{4F5FF271-4C57-4BE0-8F2C-F82C8551625C}" name="Plan" dataDxfId="40"/>
    <tableColumn id="4" xr3:uid="{8C17EB93-79B9-4E55-B8F7-BEB82F8253E9}" name="Start Date" dataDxfId="39"/>
    <tableColumn id="5" xr3:uid="{48CEDF9B-1689-482A-A828-5CCE7713264A}" name="Auto Renewal" dataDxfId="38"/>
    <tableColumn id="6" xr3:uid="{78B82374-9AA7-4E38-AE4F-78CDE6C83720}" name="Subscription Price" dataDxfId="37" dataCellStyle="Moeda"/>
    <tableColumn id="7" xr3:uid="{F2433F68-AF33-49D0-B1FB-19A396074EDE}" name="Subscription Type" dataDxfId="36"/>
    <tableColumn id="8" xr3:uid="{FD4D9C95-F6E5-4933-9068-A71FF7DF9343}" name="EA Play Season Pass" dataDxfId="35"/>
    <tableColumn id="13" xr3:uid="{978DD0D2-834E-4CE4-A39B-30976086932F}" name="EA Play Season Pass_x000a_Price" dataDxfId="34" dataCellStyle="Moeda"/>
    <tableColumn id="9" xr3:uid="{6E29F111-C395-4580-9DAD-3407D9E8B1A4}" name="Minecraft Season Pass" dataDxfId="33"/>
    <tableColumn id="10" xr3:uid="{EF544EAA-7F25-4FD5-A10E-8E62804DB9E3}" name="Minecraft Season Pass Price" dataDxfId="32" dataCellStyle="Moeda"/>
    <tableColumn id="11" xr3:uid="{7F6EB64A-1F07-4E48-9F0F-AC7D9DCD26F8}" name="Coupon Value" dataDxfId="31" dataCellStyle="Moeda"/>
    <tableColumn id="12" xr3:uid="{2B04ABC8-DE6F-426E-ADC0-D8AFC68CA58E}" name="Total Value" dataDxfId="3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35" sqref="F3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F35" sqref="F3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F35"/>
  <sheetViews>
    <sheetView showGridLines="0" workbookViewId="0">
      <selection activeCell="F35" sqref="F35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7.7109375" bestFit="1" customWidth="1"/>
    <col min="5" max="5" width="6.28515625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1" spans="2:5" x14ac:dyDescent="0.25">
      <c r="B1" s="15" t="s">
        <v>316</v>
      </c>
      <c r="C1" s="15"/>
      <c r="D1" s="15"/>
      <c r="E1" s="15"/>
    </row>
    <row r="3" spans="2:5" x14ac:dyDescent="0.25">
      <c r="B3" t="s">
        <v>317</v>
      </c>
    </row>
    <row r="4" spans="2:5" x14ac:dyDescent="0.25">
      <c r="B4" t="s">
        <v>318</v>
      </c>
    </row>
    <row r="6" spans="2:5" x14ac:dyDescent="0.25">
      <c r="B6" s="12" t="s">
        <v>16</v>
      </c>
      <c r="C6" t="s">
        <v>27</v>
      </c>
    </row>
    <row r="8" spans="2:5" x14ac:dyDescent="0.25">
      <c r="B8" s="12" t="s">
        <v>313</v>
      </c>
      <c r="C8" t="s">
        <v>315</v>
      </c>
    </row>
    <row r="9" spans="2:5" x14ac:dyDescent="0.25">
      <c r="B9" s="13" t="s">
        <v>23</v>
      </c>
      <c r="C9" s="14">
        <v>806</v>
      </c>
    </row>
    <row r="10" spans="2:5" x14ac:dyDescent="0.25">
      <c r="B10" s="13" t="s">
        <v>19</v>
      </c>
      <c r="C10" s="14">
        <v>1502</v>
      </c>
    </row>
    <row r="11" spans="2:5" x14ac:dyDescent="0.25">
      <c r="B11" s="13" t="s">
        <v>314</v>
      </c>
      <c r="C11" s="14">
        <v>2308</v>
      </c>
    </row>
    <row r="15" spans="2:5" x14ac:dyDescent="0.25">
      <c r="B15" t="s">
        <v>322</v>
      </c>
    </row>
    <row r="17" spans="2:6" x14ac:dyDescent="0.25">
      <c r="B17" s="12" t="s">
        <v>16</v>
      </c>
      <c r="C17" t="s">
        <v>27</v>
      </c>
    </row>
    <row r="19" spans="2:6" x14ac:dyDescent="0.25">
      <c r="B19" s="12" t="s">
        <v>313</v>
      </c>
      <c r="C19" t="s">
        <v>320</v>
      </c>
    </row>
    <row r="20" spans="2:6" x14ac:dyDescent="0.25">
      <c r="B20" s="13" t="s">
        <v>22</v>
      </c>
      <c r="C20" s="18">
        <v>0</v>
      </c>
    </row>
    <row r="21" spans="2:6" x14ac:dyDescent="0.25">
      <c r="B21" s="13" t="s">
        <v>26</v>
      </c>
      <c r="C21" s="18">
        <v>0</v>
      </c>
    </row>
    <row r="22" spans="2:6" x14ac:dyDescent="0.25">
      <c r="B22" s="13" t="s">
        <v>18</v>
      </c>
      <c r="C22" s="19">
        <v>990</v>
      </c>
    </row>
    <row r="23" spans="2:6" x14ac:dyDescent="0.25">
      <c r="B23" s="13" t="s">
        <v>314</v>
      </c>
      <c r="C23" s="19">
        <v>990</v>
      </c>
      <c r="F23" s="19">
        <f>GETPIVOTDATA("EA Play Season Pass
Price",$B$19)</f>
        <v>990</v>
      </c>
    </row>
    <row r="26" spans="2:6" x14ac:dyDescent="0.25">
      <c r="B26" t="s">
        <v>321</v>
      </c>
    </row>
    <row r="29" spans="2:6" x14ac:dyDescent="0.25">
      <c r="B29" s="12" t="s">
        <v>16</v>
      </c>
      <c r="C29" t="s">
        <v>27</v>
      </c>
    </row>
    <row r="31" spans="2:6" x14ac:dyDescent="0.25">
      <c r="B31" s="12" t="s">
        <v>313</v>
      </c>
      <c r="C31" t="s">
        <v>323</v>
      </c>
    </row>
    <row r="32" spans="2:6" x14ac:dyDescent="0.25">
      <c r="B32" s="13" t="s">
        <v>22</v>
      </c>
      <c r="C32" s="14">
        <v>0</v>
      </c>
    </row>
    <row r="33" spans="2:6" x14ac:dyDescent="0.25">
      <c r="B33" s="13" t="s">
        <v>26</v>
      </c>
      <c r="C33" s="14">
        <v>480</v>
      </c>
    </row>
    <row r="34" spans="2:6" x14ac:dyDescent="0.25">
      <c r="B34" s="13" t="s">
        <v>18</v>
      </c>
      <c r="C34" s="19">
        <v>660</v>
      </c>
    </row>
    <row r="35" spans="2:6" x14ac:dyDescent="0.25">
      <c r="B35" s="13" t="s">
        <v>314</v>
      </c>
      <c r="C35" s="19">
        <v>1140</v>
      </c>
      <c r="F35" s="19">
        <f>GETPIVOTDATA("Minecraft Season Pass Price",$B$31)</f>
        <v>1140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R8"/>
  <sheetViews>
    <sheetView showGridLines="0" tabSelected="1" zoomScale="55" zoomScaleNormal="55" workbookViewId="0">
      <selection activeCell="E4" sqref="E4"/>
    </sheetView>
  </sheetViews>
  <sheetFormatPr defaultRowHeight="15" x14ac:dyDescent="0.25"/>
  <cols>
    <col min="1" max="1" width="32.7109375" style="4" customWidth="1"/>
    <col min="2" max="2" width="3.5703125" style="7" customWidth="1"/>
    <col min="3" max="3" width="10.28515625" style="7" customWidth="1"/>
    <col min="4" max="11" width="9.140625" style="7"/>
    <col min="12" max="12" width="6.5703125" style="7" customWidth="1"/>
    <col min="13" max="16384" width="9.140625" style="7"/>
  </cols>
  <sheetData>
    <row r="1" spans="1:18" customFormat="1" x14ac:dyDescent="0.25">
      <c r="A1" s="4"/>
    </row>
    <row r="2" spans="1:18" customFormat="1" ht="39" customHeight="1" thickBot="1" x14ac:dyDescent="0.35">
      <c r="A2" s="4"/>
      <c r="C2" s="20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customFormat="1" ht="20.25" customHeight="1" thickTop="1" x14ac:dyDescent="0.25">
      <c r="A3" s="4"/>
      <c r="C3" s="16"/>
    </row>
    <row r="4" spans="1:18" ht="8.25" customHeight="1" x14ac:dyDescent="0.25"/>
    <row r="5" spans="1:18" ht="7.5" customHeight="1" x14ac:dyDescent="0.25"/>
    <row r="6" spans="1:18" ht="10.5" customHeight="1" x14ac:dyDescent="0.25"/>
    <row r="7" spans="1:18" ht="9.75" customHeight="1" x14ac:dyDescent="0.25"/>
    <row r="8" spans="1:18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Vinicius Alves Lordaro - 12522145054</cp:lastModifiedBy>
  <dcterms:created xsi:type="dcterms:W3CDTF">2024-12-19T13:13:10Z</dcterms:created>
  <dcterms:modified xsi:type="dcterms:W3CDTF">2026-02-16T02:56:13Z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